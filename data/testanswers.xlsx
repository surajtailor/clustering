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87\Documents\GitHub\clustering\data\"/>
    </mc:Choice>
  </mc:AlternateContent>
  <xr:revisionPtr revIDLastSave="0" documentId="13_ncr:1_{EE9919A7-0C27-45B8-A85E-CD6B3F8322D6}" xr6:coauthVersionLast="45" xr6:coauthVersionMax="45" xr10:uidLastSave="{00000000-0000-0000-0000-000000000000}"/>
  <bookViews>
    <workbookView xWindow="-96" yWindow="-96" windowWidth="23232" windowHeight="12552" xr2:uid="{DBF5B92B-496E-4810-964E-656CD6763FFA}"/>
  </bookViews>
  <sheets>
    <sheet name="Counting" sheetId="1" r:id="rId1"/>
    <sheet name="GowerDist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0" i="1" l="1"/>
  <c r="AG20" i="1"/>
  <c r="AH20" i="1"/>
  <c r="AI20" i="1"/>
  <c r="C66" i="2" l="1"/>
  <c r="D66" i="2"/>
  <c r="E66" i="2"/>
  <c r="F66" i="2"/>
  <c r="G66" i="2"/>
  <c r="H66" i="2"/>
  <c r="I66" i="2"/>
  <c r="J66" i="2"/>
  <c r="K66" i="2"/>
  <c r="L66" i="2"/>
  <c r="M66" i="2"/>
  <c r="N66" i="2"/>
  <c r="O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66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2" i="2"/>
  <c r="AH2" i="2"/>
  <c r="B18" i="2" a="1"/>
  <c r="B18" i="2" s="1"/>
  <c r="B50" i="2" s="1"/>
  <c r="AF19" i="1"/>
  <c r="AG19" i="1"/>
  <c r="AH19" i="1"/>
  <c r="AI19" i="1"/>
  <c r="AF18" i="1"/>
  <c r="AG18" i="1"/>
  <c r="AH18" i="1"/>
  <c r="AI18" i="1"/>
  <c r="AF17" i="1"/>
  <c r="AG17" i="1"/>
  <c r="AH17" i="1"/>
  <c r="AI17" i="1"/>
  <c r="AE17" i="1"/>
  <c r="AE18" i="1"/>
  <c r="AE19" i="1"/>
  <c r="AE20" i="1"/>
  <c r="AF16" i="1"/>
  <c r="AG16" i="1"/>
  <c r="AH16" i="1"/>
  <c r="AI16" i="1"/>
  <c r="AE16" i="1"/>
  <c r="AF13" i="1"/>
  <c r="AG13" i="1"/>
  <c r="AH13" i="1"/>
  <c r="AI13" i="1"/>
  <c r="AF12" i="1"/>
  <c r="AG12" i="1"/>
  <c r="AH12" i="1"/>
  <c r="AI12" i="1"/>
  <c r="AF11" i="1"/>
  <c r="AG11" i="1"/>
  <c r="AH11" i="1"/>
  <c r="AI11" i="1"/>
  <c r="AF10" i="1"/>
  <c r="AG10" i="1"/>
  <c r="AH10" i="1"/>
  <c r="AI10" i="1"/>
  <c r="AE10" i="1"/>
  <c r="AE11" i="1"/>
  <c r="AE12" i="1"/>
  <c r="AE13" i="1"/>
  <c r="AF9" i="1"/>
  <c r="AG9" i="1"/>
  <c r="AH9" i="1"/>
  <c r="AI9" i="1"/>
  <c r="AE9" i="1"/>
  <c r="AB16" i="1"/>
  <c r="AB9" i="1"/>
  <c r="AM6" i="1"/>
  <c r="AN6" i="1"/>
  <c r="AO6" i="1"/>
  <c r="AP6" i="1"/>
  <c r="AP5" i="1"/>
  <c r="AM5" i="1"/>
  <c r="AN5" i="1"/>
  <c r="AO5" i="1"/>
  <c r="AM4" i="1"/>
  <c r="AN4" i="1"/>
  <c r="AO4" i="1"/>
  <c r="AP4" i="1"/>
  <c r="AM3" i="1"/>
  <c r="AN3" i="1"/>
  <c r="AO3" i="1"/>
  <c r="AP3" i="1"/>
  <c r="AL3" i="1"/>
  <c r="AL4" i="1"/>
  <c r="AL5" i="1"/>
  <c r="AL6" i="1"/>
  <c r="AM2" i="1"/>
  <c r="AN2" i="1"/>
  <c r="AO2" i="1"/>
  <c r="AP2" i="1"/>
  <c r="AL2" i="1"/>
  <c r="AI2" i="1"/>
  <c r="X19" i="1"/>
  <c r="X12" i="1"/>
  <c r="W18" i="1"/>
  <c r="Z20" i="1"/>
  <c r="Y20" i="1"/>
  <c r="X20" i="1"/>
  <c r="W20" i="1"/>
  <c r="V20" i="1"/>
  <c r="Z19" i="1"/>
  <c r="Y19" i="1"/>
  <c r="W19" i="1"/>
  <c r="V19" i="1"/>
  <c r="Z18" i="1"/>
  <c r="Y18" i="1"/>
  <c r="X18" i="1"/>
  <c r="V18" i="1"/>
  <c r="Z17" i="1"/>
  <c r="Y17" i="1"/>
  <c r="X17" i="1"/>
  <c r="W17" i="1"/>
  <c r="V17" i="1"/>
  <c r="Z16" i="1"/>
  <c r="Y16" i="1"/>
  <c r="X16" i="1"/>
  <c r="W16" i="1"/>
  <c r="V16" i="1"/>
  <c r="Y13" i="1"/>
  <c r="X13" i="1"/>
  <c r="W13" i="1"/>
  <c r="W12" i="1"/>
  <c r="W11" i="1"/>
  <c r="V13" i="1"/>
  <c r="V12" i="1"/>
  <c r="V11" i="1"/>
  <c r="V10" i="1"/>
  <c r="Z12" i="1"/>
  <c r="Z11" i="1"/>
  <c r="Z10" i="1"/>
  <c r="Y11" i="1"/>
  <c r="Y10" i="1"/>
  <c r="Y9" i="1"/>
  <c r="X9" i="1"/>
  <c r="W9" i="1"/>
  <c r="Z13" i="1"/>
  <c r="Y12" i="1"/>
  <c r="X11" i="1"/>
  <c r="W10" i="1"/>
  <c r="V9" i="1"/>
  <c r="Z9" i="1"/>
  <c r="X10" i="1"/>
  <c r="AE6" i="1"/>
  <c r="AD6" i="1"/>
  <c r="AF6" i="1"/>
  <c r="AG6" i="1"/>
  <c r="AD5" i="1"/>
  <c r="AE5" i="1"/>
  <c r="AF5" i="1"/>
  <c r="AG5" i="1"/>
  <c r="AD4" i="1"/>
  <c r="AE4" i="1"/>
  <c r="AF4" i="1"/>
  <c r="AG4" i="1"/>
  <c r="AD3" i="1"/>
  <c r="AE3" i="1"/>
  <c r="AF3" i="1"/>
  <c r="AG3" i="1"/>
  <c r="AC3" i="1"/>
  <c r="AC4" i="1"/>
  <c r="AC5" i="1"/>
  <c r="AC6" i="1"/>
  <c r="AD2" i="1"/>
  <c r="AE2" i="1"/>
  <c r="AF2" i="1"/>
  <c r="AG2" i="1"/>
  <c r="AC2" i="1"/>
  <c r="L20" i="1"/>
  <c r="M20" i="1"/>
  <c r="N20" i="1"/>
  <c r="O20" i="1"/>
  <c r="L19" i="1"/>
  <c r="M19" i="1"/>
  <c r="N19" i="1"/>
  <c r="O19" i="1"/>
  <c r="L18" i="1"/>
  <c r="M18" i="1"/>
  <c r="N18" i="1"/>
  <c r="O18" i="1"/>
  <c r="L17" i="1"/>
  <c r="M17" i="1"/>
  <c r="N17" i="1"/>
  <c r="O17" i="1"/>
  <c r="L16" i="1"/>
  <c r="M16" i="1"/>
  <c r="N16" i="1"/>
  <c r="O16" i="1"/>
  <c r="K20" i="1"/>
  <c r="K19" i="1"/>
  <c r="K18" i="1"/>
  <c r="K17" i="1"/>
  <c r="K16" i="1"/>
  <c r="H20" i="1"/>
  <c r="S20" i="1" s="1"/>
  <c r="H19" i="1"/>
  <c r="S19" i="1" s="1"/>
  <c r="H18" i="1"/>
  <c r="S18" i="1" s="1"/>
  <c r="H17" i="1"/>
  <c r="S17" i="1" s="1"/>
  <c r="H16" i="1"/>
  <c r="S16" i="1" s="1"/>
  <c r="G31" i="2" l="1"/>
  <c r="G63" i="2" s="1"/>
  <c r="K25" i="2"/>
  <c r="K57" i="2" s="1"/>
  <c r="M18" i="2"/>
  <c r="M50" i="2" s="1"/>
  <c r="B29" i="2"/>
  <c r="B61" i="2" s="1"/>
  <c r="H24" i="2"/>
  <c r="H56" i="2" s="1"/>
  <c r="N19" i="2"/>
  <c r="N51" i="2" s="1"/>
  <c r="C30" i="2"/>
  <c r="C62" i="2" s="1"/>
  <c r="K26" i="2"/>
  <c r="K58" i="2" s="1"/>
  <c r="E23" i="2"/>
  <c r="E55" i="2" s="1"/>
  <c r="M19" i="2"/>
  <c r="M51" i="2" s="1"/>
  <c r="B30" i="2"/>
  <c r="B62" i="2" s="1"/>
  <c r="L27" i="2"/>
  <c r="L59" i="2" s="1"/>
  <c r="H25" i="2"/>
  <c r="H57" i="2" s="1"/>
  <c r="D23" i="2"/>
  <c r="D55" i="2" s="1"/>
  <c r="J18" i="2"/>
  <c r="J50" i="2" s="1"/>
  <c r="K27" i="2"/>
  <c r="K59" i="2" s="1"/>
  <c r="E24" i="2"/>
  <c r="E56" i="2" s="1"/>
  <c r="M20" i="2"/>
  <c r="M52" i="2" s="1"/>
  <c r="B31" i="2"/>
  <c r="B63" i="2" s="1"/>
  <c r="N21" i="2"/>
  <c r="N53" i="2" s="1"/>
  <c r="K31" i="2"/>
  <c r="K63" i="2" s="1"/>
  <c r="I30" i="2"/>
  <c r="I62" i="2" s="1"/>
  <c r="G29" i="2"/>
  <c r="G61" i="2" s="1"/>
  <c r="E28" i="2"/>
  <c r="E60" i="2" s="1"/>
  <c r="C27" i="2"/>
  <c r="C59" i="2" s="1"/>
  <c r="O25" i="2"/>
  <c r="O57" i="2" s="1"/>
  <c r="M24" i="2"/>
  <c r="M56" i="2" s="1"/>
  <c r="K23" i="2"/>
  <c r="K55" i="2" s="1"/>
  <c r="I22" i="2"/>
  <c r="I54" i="2" s="1"/>
  <c r="G21" i="2"/>
  <c r="G53" i="2" s="1"/>
  <c r="E20" i="2"/>
  <c r="E52" i="2" s="1"/>
  <c r="C19" i="2"/>
  <c r="C51" i="2" s="1"/>
  <c r="J31" i="2"/>
  <c r="J63" i="2" s="1"/>
  <c r="H30" i="2"/>
  <c r="H62" i="2" s="1"/>
  <c r="F29" i="2"/>
  <c r="F61" i="2" s="1"/>
  <c r="D28" i="2"/>
  <c r="D60" i="2" s="1"/>
  <c r="B27" i="2"/>
  <c r="B59" i="2" s="1"/>
  <c r="N25" i="2"/>
  <c r="N57" i="2" s="1"/>
  <c r="L24" i="2"/>
  <c r="L56" i="2" s="1"/>
  <c r="J23" i="2"/>
  <c r="J55" i="2" s="1"/>
  <c r="H22" i="2"/>
  <c r="H54" i="2" s="1"/>
  <c r="F21" i="2"/>
  <c r="F53" i="2" s="1"/>
  <c r="D20" i="2"/>
  <c r="D52" i="2" s="1"/>
  <c r="B19" i="2"/>
  <c r="B51" i="2" s="1"/>
  <c r="O27" i="2"/>
  <c r="O59" i="2" s="1"/>
  <c r="O19" i="2"/>
  <c r="O51" i="2" s="1"/>
  <c r="N27" i="2"/>
  <c r="N59" i="2" s="1"/>
  <c r="D22" i="2"/>
  <c r="D54" i="2" s="1"/>
  <c r="I31" i="2"/>
  <c r="I63" i="2" s="1"/>
  <c r="G30" i="2"/>
  <c r="G62" i="2" s="1"/>
  <c r="E29" i="2"/>
  <c r="E61" i="2" s="1"/>
  <c r="C28" i="2"/>
  <c r="C60" i="2" s="1"/>
  <c r="O26" i="2"/>
  <c r="O58" i="2" s="1"/>
  <c r="M25" i="2"/>
  <c r="M57" i="2" s="1"/>
  <c r="K24" i="2"/>
  <c r="K56" i="2" s="1"/>
  <c r="I23" i="2"/>
  <c r="I55" i="2" s="1"/>
  <c r="G22" i="2"/>
  <c r="G54" i="2" s="1"/>
  <c r="E21" i="2"/>
  <c r="E53" i="2" s="1"/>
  <c r="C20" i="2"/>
  <c r="C52" i="2" s="1"/>
  <c r="O18" i="2"/>
  <c r="O50" i="2" s="1"/>
  <c r="G23" i="2"/>
  <c r="G55" i="2" s="1"/>
  <c r="H31" i="2"/>
  <c r="H63" i="2" s="1"/>
  <c r="F30" i="2"/>
  <c r="F62" i="2" s="1"/>
  <c r="D29" i="2"/>
  <c r="D61" i="2" s="1"/>
  <c r="B28" i="2"/>
  <c r="B60" i="2" s="1"/>
  <c r="N26" i="2"/>
  <c r="N58" i="2" s="1"/>
  <c r="L25" i="2"/>
  <c r="L57" i="2" s="1"/>
  <c r="J24" i="2"/>
  <c r="J56" i="2" s="1"/>
  <c r="H23" i="2"/>
  <c r="H55" i="2" s="1"/>
  <c r="F22" i="2"/>
  <c r="F54" i="2" s="1"/>
  <c r="D21" i="2"/>
  <c r="D53" i="2" s="1"/>
  <c r="B20" i="2"/>
  <c r="B52" i="2" s="1"/>
  <c r="N18" i="2"/>
  <c r="N50" i="2" s="1"/>
  <c r="C29" i="2"/>
  <c r="C61" i="2" s="1"/>
  <c r="I24" i="2"/>
  <c r="I56" i="2" s="1"/>
  <c r="E22" i="2"/>
  <c r="E54" i="2" s="1"/>
  <c r="F31" i="2"/>
  <c r="F63" i="2" s="1"/>
  <c r="J25" i="2"/>
  <c r="J57" i="2" s="1"/>
  <c r="L18" i="2"/>
  <c r="L50" i="2" s="1"/>
  <c r="E31" i="2"/>
  <c r="E63" i="2" s="1"/>
  <c r="M27" i="2"/>
  <c r="M59" i="2" s="1"/>
  <c r="G24" i="2"/>
  <c r="G56" i="2" s="1"/>
  <c r="O20" i="2"/>
  <c r="O52" i="2" s="1"/>
  <c r="B22" i="2"/>
  <c r="B54" i="2" s="1"/>
  <c r="C31" i="2"/>
  <c r="C63" i="2" s="1"/>
  <c r="M28" i="2"/>
  <c r="M60" i="2" s="1"/>
  <c r="G25" i="2"/>
  <c r="G57" i="2" s="1"/>
  <c r="O21" i="2"/>
  <c r="O53" i="2" s="1"/>
  <c r="I18" i="2"/>
  <c r="I50" i="2" s="1"/>
  <c r="L28" i="2"/>
  <c r="L60" i="2" s="1"/>
  <c r="H26" i="2"/>
  <c r="H58" i="2" s="1"/>
  <c r="D24" i="2"/>
  <c r="D56" i="2" s="1"/>
  <c r="L20" i="2"/>
  <c r="L52" i="2" s="1"/>
  <c r="H18" i="2"/>
  <c r="H50" i="2" s="1"/>
  <c r="M29" i="2"/>
  <c r="M61" i="2" s="1"/>
  <c r="G26" i="2"/>
  <c r="G58" i="2" s="1"/>
  <c r="O22" i="2"/>
  <c r="O54" i="2" s="1"/>
  <c r="G18" i="2"/>
  <c r="G50" i="2" s="1"/>
  <c r="N30" i="2"/>
  <c r="N62" i="2" s="1"/>
  <c r="J28" i="2"/>
  <c r="J60" i="2" s="1"/>
  <c r="F26" i="2"/>
  <c r="F58" i="2" s="1"/>
  <c r="D25" i="2"/>
  <c r="D57" i="2" s="1"/>
  <c r="N22" i="2"/>
  <c r="N54" i="2" s="1"/>
  <c r="L21" i="2"/>
  <c r="L53" i="2" s="1"/>
  <c r="J20" i="2"/>
  <c r="J52" i="2" s="1"/>
  <c r="F18" i="2"/>
  <c r="F50" i="2" s="1"/>
  <c r="M30" i="2"/>
  <c r="M62" i="2" s="1"/>
  <c r="I28" i="2"/>
  <c r="I60" i="2" s="1"/>
  <c r="G27" i="2"/>
  <c r="G59" i="2" s="1"/>
  <c r="C25" i="2"/>
  <c r="C57" i="2" s="1"/>
  <c r="O23" i="2"/>
  <c r="O55" i="2" s="1"/>
  <c r="K21" i="2"/>
  <c r="K53" i="2" s="1"/>
  <c r="I20" i="2"/>
  <c r="I52" i="2" s="1"/>
  <c r="E18" i="2"/>
  <c r="E50" i="2" s="1"/>
  <c r="N31" i="2"/>
  <c r="N63" i="2" s="1"/>
  <c r="J29" i="2"/>
  <c r="J61" i="2" s="1"/>
  <c r="F27" i="2"/>
  <c r="F59" i="2" s="1"/>
  <c r="B25" i="2"/>
  <c r="B57" i="2" s="1"/>
  <c r="N23" i="2"/>
  <c r="N55" i="2" s="1"/>
  <c r="J21" i="2"/>
  <c r="J53" i="2" s="1"/>
  <c r="F19" i="2"/>
  <c r="F51" i="2" s="1"/>
  <c r="M31" i="2"/>
  <c r="M63" i="2" s="1"/>
  <c r="K30" i="2"/>
  <c r="K62" i="2" s="1"/>
  <c r="I29" i="2"/>
  <c r="I61" i="2" s="1"/>
  <c r="G28" i="2"/>
  <c r="G60" i="2" s="1"/>
  <c r="E27" i="2"/>
  <c r="E59" i="2" s="1"/>
  <c r="C26" i="2"/>
  <c r="C58" i="2" s="1"/>
  <c r="O24" i="2"/>
  <c r="O56" i="2" s="1"/>
  <c r="M23" i="2"/>
  <c r="M55" i="2" s="1"/>
  <c r="K22" i="2"/>
  <c r="K54" i="2" s="1"/>
  <c r="I21" i="2"/>
  <c r="I53" i="2" s="1"/>
  <c r="G20" i="2"/>
  <c r="G52" i="2" s="1"/>
  <c r="E19" i="2"/>
  <c r="E51" i="2" s="1"/>
  <c r="C18" i="2"/>
  <c r="C50" i="2" s="1"/>
  <c r="E30" i="2"/>
  <c r="E62" i="2" s="1"/>
  <c r="M26" i="2"/>
  <c r="M58" i="2" s="1"/>
  <c r="C21" i="2"/>
  <c r="C53" i="2" s="1"/>
  <c r="D30" i="2"/>
  <c r="D62" i="2" s="1"/>
  <c r="L26" i="2"/>
  <c r="L58" i="2" s="1"/>
  <c r="F23" i="2"/>
  <c r="F55" i="2" s="1"/>
  <c r="B21" i="2"/>
  <c r="B53" i="2" s="1"/>
  <c r="O28" i="2"/>
  <c r="O60" i="2" s="1"/>
  <c r="I25" i="2"/>
  <c r="I57" i="2" s="1"/>
  <c r="C22" i="2"/>
  <c r="C54" i="2" s="1"/>
  <c r="K18" i="2"/>
  <c r="K50" i="2" s="1"/>
  <c r="D31" i="2"/>
  <c r="D63" i="2" s="1"/>
  <c r="N28" i="2"/>
  <c r="N60" i="2" s="1"/>
  <c r="J26" i="2"/>
  <c r="J58" i="2" s="1"/>
  <c r="F24" i="2"/>
  <c r="F56" i="2" s="1"/>
  <c r="N20" i="2"/>
  <c r="N52" i="2" s="1"/>
  <c r="L19" i="2"/>
  <c r="L51" i="2" s="1"/>
  <c r="O29" i="2"/>
  <c r="O61" i="2" s="1"/>
  <c r="I26" i="2"/>
  <c r="I58" i="2" s="1"/>
  <c r="C23" i="2"/>
  <c r="C55" i="2" s="1"/>
  <c r="K19" i="2"/>
  <c r="K51" i="2" s="1"/>
  <c r="N29" i="2"/>
  <c r="N61" i="2" s="1"/>
  <c r="J27" i="2"/>
  <c r="J59" i="2" s="1"/>
  <c r="F25" i="2"/>
  <c r="F57" i="2" s="1"/>
  <c r="B23" i="2"/>
  <c r="B55" i="2" s="1"/>
  <c r="J19" i="2"/>
  <c r="J51" i="2" s="1"/>
  <c r="O30" i="2"/>
  <c r="O62" i="2" s="1"/>
  <c r="K28" i="2"/>
  <c r="K60" i="2" s="1"/>
  <c r="I27" i="2"/>
  <c r="I59" i="2" s="1"/>
  <c r="E25" i="2"/>
  <c r="E57" i="2" s="1"/>
  <c r="C24" i="2"/>
  <c r="C56" i="2" s="1"/>
  <c r="M21" i="2"/>
  <c r="M53" i="2" s="1"/>
  <c r="K20" i="2"/>
  <c r="K52" i="2" s="1"/>
  <c r="I19" i="2"/>
  <c r="I51" i="2" s="1"/>
  <c r="L29" i="2"/>
  <c r="L61" i="2" s="1"/>
  <c r="H27" i="2"/>
  <c r="H59" i="2" s="1"/>
  <c r="B24" i="2"/>
  <c r="B56" i="2" s="1"/>
  <c r="H19" i="2"/>
  <c r="H51" i="2" s="1"/>
  <c r="O31" i="2"/>
  <c r="O63" i="2" s="1"/>
  <c r="K29" i="2"/>
  <c r="K61" i="2" s="1"/>
  <c r="E26" i="2"/>
  <c r="E58" i="2" s="1"/>
  <c r="M22" i="2"/>
  <c r="M54" i="2" s="1"/>
  <c r="G19" i="2"/>
  <c r="G51" i="2" s="1"/>
  <c r="L30" i="2"/>
  <c r="L62" i="2" s="1"/>
  <c r="H28" i="2"/>
  <c r="H60" i="2" s="1"/>
  <c r="D26" i="2"/>
  <c r="D58" i="2" s="1"/>
  <c r="L22" i="2"/>
  <c r="L54" i="2" s="1"/>
  <c r="H20" i="2"/>
  <c r="H52" i="2" s="1"/>
  <c r="D18" i="2"/>
  <c r="D50" i="2" s="1"/>
  <c r="L31" i="2"/>
  <c r="L63" i="2" s="1"/>
  <c r="J30" i="2"/>
  <c r="J62" i="2" s="1"/>
  <c r="H29" i="2"/>
  <c r="H61" i="2" s="1"/>
  <c r="F28" i="2"/>
  <c r="F60" i="2" s="1"/>
  <c r="D27" i="2"/>
  <c r="D59" i="2" s="1"/>
  <c r="B26" i="2"/>
  <c r="B58" i="2" s="1"/>
  <c r="N24" i="2"/>
  <c r="N56" i="2" s="1"/>
  <c r="L23" i="2"/>
  <c r="L55" i="2" s="1"/>
  <c r="J22" i="2"/>
  <c r="J54" i="2" s="1"/>
  <c r="H21" i="2"/>
  <c r="H53" i="2" s="1"/>
  <c r="F20" i="2"/>
  <c r="F52" i="2" s="1"/>
  <c r="D19" i="2"/>
  <c r="D51" i="2" s="1"/>
  <c r="Q16" i="1"/>
  <c r="Q9" i="1"/>
  <c r="S10" i="1"/>
  <c r="S11" i="1"/>
  <c r="S12" i="1"/>
  <c r="S13" i="1"/>
  <c r="S9" i="1"/>
  <c r="L13" i="1"/>
  <c r="M13" i="1"/>
  <c r="N13" i="1"/>
  <c r="O13" i="1"/>
  <c r="L12" i="1"/>
  <c r="M12" i="1"/>
  <c r="N12" i="1"/>
  <c r="O12" i="1"/>
  <c r="K13" i="1"/>
  <c r="K12" i="1"/>
  <c r="L11" i="1"/>
  <c r="M11" i="1"/>
  <c r="N11" i="1"/>
  <c r="O11" i="1"/>
  <c r="K11" i="1"/>
  <c r="L10" i="1"/>
  <c r="M10" i="1"/>
  <c r="N10" i="1"/>
  <c r="O10" i="1"/>
  <c r="K10" i="1"/>
  <c r="L9" i="1"/>
  <c r="M9" i="1"/>
  <c r="N9" i="1"/>
  <c r="O9" i="1"/>
  <c r="K9" i="1"/>
  <c r="H10" i="1"/>
  <c r="H11" i="1"/>
  <c r="H12" i="1"/>
  <c r="H13" i="1"/>
  <c r="H9" i="1"/>
  <c r="H2" i="1"/>
  <c r="N5" i="1" s="1"/>
  <c r="L6" i="1" l="1"/>
  <c r="M5" i="1"/>
  <c r="K2" i="1"/>
  <c r="L5" i="1"/>
  <c r="K6" i="1"/>
  <c r="O4" i="1"/>
  <c r="K5" i="1"/>
  <c r="N4" i="1"/>
  <c r="K4" i="1"/>
  <c r="M4" i="1"/>
  <c r="K3" i="1"/>
  <c r="L4" i="1"/>
  <c r="O2" i="1"/>
  <c r="O3" i="1"/>
  <c r="N2" i="1"/>
  <c r="N3" i="1"/>
  <c r="M2" i="1"/>
  <c r="M3" i="1"/>
  <c r="L2" i="1"/>
  <c r="L3" i="1"/>
  <c r="O6" i="1"/>
  <c r="N6" i="1"/>
  <c r="M6" i="1"/>
  <c r="O5" i="1"/>
  <c r="Q5" i="1" l="1"/>
  <c r="Q2" i="1"/>
  <c r="Q3" i="1"/>
  <c r="Q4" i="1"/>
  <c r="Q6" i="1"/>
  <c r="Z6" i="1" s="1"/>
  <c r="Z4" i="1" l="1"/>
  <c r="Y4" i="1"/>
  <c r="X4" i="1"/>
  <c r="W3" i="1"/>
  <c r="Z3" i="1"/>
  <c r="Y3" i="1"/>
  <c r="X3" i="1"/>
  <c r="S2" i="1"/>
  <c r="Z2" i="1"/>
  <c r="Y2" i="1"/>
  <c r="X2" i="1"/>
  <c r="W2" i="1"/>
  <c r="V2" i="1"/>
  <c r="Z5" i="1"/>
  <c r="Y5" i="1"/>
  <c r="X5" i="1" l="1"/>
  <c r="Y6" i="1"/>
  <c r="V4" i="1"/>
  <c r="V6" i="1"/>
  <c r="W4" i="1"/>
  <c r="V3" i="1"/>
  <c r="V5" i="1"/>
  <c r="W5" i="1"/>
  <c r="W6" i="1"/>
  <c r="X6" i="1"/>
</calcChain>
</file>

<file path=xl/sharedStrings.xml><?xml version="1.0" encoding="utf-8"?>
<sst xmlns="http://schemas.openxmlformats.org/spreadsheetml/2006/main" count="56" uniqueCount="43">
  <si>
    <t>All unique 3-grams</t>
  </si>
  <si>
    <t>Frequency</t>
  </si>
  <si>
    <t>1-2-3</t>
  </si>
  <si>
    <t>2-3-4</t>
  </si>
  <si>
    <t>4-1-2</t>
  </si>
  <si>
    <t>3-4-1</t>
  </si>
  <si>
    <t>4-3-2</t>
  </si>
  <si>
    <t>3-2-1</t>
  </si>
  <si>
    <t>2-1-4</t>
  </si>
  <si>
    <t>1-4-3</t>
  </si>
  <si>
    <t>countrgl</t>
  </si>
  <si>
    <t>1-3-3</t>
  </si>
  <si>
    <t>2-4-4</t>
  </si>
  <si>
    <t>3-1-1</t>
  </si>
  <si>
    <t>4-2-2</t>
  </si>
  <si>
    <t>1-5-5</t>
  </si>
  <si>
    <t>1-2-5</t>
  </si>
  <si>
    <t>5</t>
  </si>
  <si>
    <t>N_c</t>
  </si>
  <si>
    <t>Normmatrix</t>
  </si>
  <si>
    <t>probability</t>
  </si>
  <si>
    <t>sumprob</t>
  </si>
  <si>
    <t>Expmatrix</t>
  </si>
  <si>
    <t>subsmatrix</t>
  </si>
  <si>
    <t>Normvector</t>
  </si>
  <si>
    <t>NormRGLMatrix</t>
  </si>
  <si>
    <t>sumofoccurances</t>
  </si>
  <si>
    <t>InsRGLMatrix</t>
  </si>
  <si>
    <t>countlgr</t>
  </si>
  <si>
    <t>NormLGRMatrix</t>
  </si>
  <si>
    <t>InsLGRMatrix</t>
  </si>
  <si>
    <t>absmin</t>
  </si>
  <si>
    <t>shiftsub</t>
  </si>
  <si>
    <t>shift</t>
  </si>
  <si>
    <t>SumP of delta*w</t>
  </si>
  <si>
    <t>id\data type</t>
  </si>
  <si>
    <t>delta(p+1)</t>
  </si>
  <si>
    <t>totaldeltamatrix</t>
  </si>
  <si>
    <t>seqDistance</t>
  </si>
  <si>
    <t>normalisation factor</t>
  </si>
  <si>
    <t>gowersDistance</t>
  </si>
  <si>
    <t>gowerdist</t>
  </si>
  <si>
    <t>=A1:AG6C(a,b)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</si>
</sst>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Fill="1"/>
    <xf numFmtId="0" fontId="1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54C3-FD10-4E84-89D0-EB235E739AD6}">
  <dimension ref="A1:AP38"/>
  <sheetViews>
    <sheetView tabSelected="1" zoomScale="115" zoomScaleNormal="115" workbookViewId="0">
      <selection sqref="A1:J6"/>
    </sheetView>
  </sheetViews>
  <sheetFormatPr defaultRowHeight="14.4" x14ac:dyDescent="0.3"/>
  <cols>
    <col min="1" max="1" width="19.88671875" style="1" customWidth="1"/>
    <col min="2" max="2" width="10.88671875" customWidth="1"/>
    <col min="8" max="8" width="12.44140625" customWidth="1"/>
    <col min="10" max="10" width="20.88671875" customWidth="1"/>
    <col min="11" max="11" width="14.77734375" customWidth="1"/>
    <col min="12" max="12" width="10.77734375" customWidth="1"/>
    <col min="17" max="17" width="16.33203125" customWidth="1"/>
    <col min="19" max="19" width="10.109375" customWidth="1"/>
    <col min="21" max="21" width="13.109375" customWidth="1"/>
    <col min="28" max="28" width="11.88671875" customWidth="1"/>
    <col min="35" max="35" width="11.77734375" customWidth="1"/>
  </cols>
  <sheetData>
    <row r="1" spans="1:42" x14ac:dyDescent="0.3">
      <c r="A1" s="2" t="s">
        <v>42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H1" s="3" t="s">
        <v>18</v>
      </c>
      <c r="J1" s="2" t="s">
        <v>19</v>
      </c>
      <c r="K1" s="3">
        <v>1</v>
      </c>
      <c r="L1" s="3">
        <v>2</v>
      </c>
      <c r="M1" s="3">
        <v>3</v>
      </c>
      <c r="N1" s="3">
        <v>4</v>
      </c>
      <c r="O1" s="3">
        <v>5</v>
      </c>
      <c r="Q1" s="3" t="s">
        <v>20</v>
      </c>
      <c r="S1" s="3" t="s">
        <v>21</v>
      </c>
      <c r="U1" s="3" t="s">
        <v>22</v>
      </c>
      <c r="V1" s="3">
        <v>1</v>
      </c>
      <c r="W1" s="3">
        <v>2</v>
      </c>
      <c r="X1" s="3">
        <v>3</v>
      </c>
      <c r="Y1" s="3">
        <v>4</v>
      </c>
      <c r="Z1" s="3">
        <v>5</v>
      </c>
      <c r="AB1" s="3" t="s">
        <v>23</v>
      </c>
      <c r="AC1" s="3">
        <v>1</v>
      </c>
      <c r="AD1" s="3">
        <v>2</v>
      </c>
      <c r="AE1" s="3">
        <v>3</v>
      </c>
      <c r="AF1" s="3">
        <v>4</v>
      </c>
      <c r="AG1" s="3">
        <v>5</v>
      </c>
      <c r="AI1" s="3" t="s">
        <v>31</v>
      </c>
      <c r="AK1" s="3" t="s">
        <v>32</v>
      </c>
      <c r="AL1" s="3">
        <v>1</v>
      </c>
      <c r="AM1" s="3">
        <v>2</v>
      </c>
      <c r="AN1" s="3">
        <v>3</v>
      </c>
      <c r="AO1" s="3">
        <v>4</v>
      </c>
      <c r="AP1" s="3">
        <v>5</v>
      </c>
    </row>
    <row r="2" spans="1:42" x14ac:dyDescent="0.3">
      <c r="A2" s="2">
        <v>1</v>
      </c>
      <c r="B2">
        <v>17</v>
      </c>
      <c r="C2">
        <v>24</v>
      </c>
      <c r="D2">
        <v>52</v>
      </c>
      <c r="E2">
        <v>16</v>
      </c>
      <c r="F2">
        <v>0</v>
      </c>
      <c r="H2">
        <f>SUM(B2:F6)</f>
        <v>549</v>
      </c>
      <c r="J2" s="2">
        <v>1</v>
      </c>
      <c r="K2">
        <f t="shared" ref="K2:O6" si="0">B2/$H$2</f>
        <v>3.0965391621129327E-2</v>
      </c>
      <c r="L2">
        <f t="shared" si="0"/>
        <v>4.3715846994535519E-2</v>
      </c>
      <c r="M2">
        <f t="shared" si="0"/>
        <v>9.4717668488160295E-2</v>
      </c>
      <c r="N2">
        <f t="shared" si="0"/>
        <v>2.9143897996357013E-2</v>
      </c>
      <c r="O2">
        <f t="shared" si="0"/>
        <v>0</v>
      </c>
      <c r="Q2">
        <f>SUM(K2:O2)</f>
        <v>0.19854280510018218</v>
      </c>
      <c r="S2">
        <f>SUM(Q2:Q6)</f>
        <v>1</v>
      </c>
      <c r="U2" s="2">
        <v>1</v>
      </c>
      <c r="V2">
        <f>Q2^2</f>
        <v>3.9419245457048932E-2</v>
      </c>
      <c r="W2">
        <f>2*Q2*Q3</f>
        <v>0.12874542552944418</v>
      </c>
      <c r="X2">
        <f>2*Q2*Q4</f>
        <v>0.10704675830538056</v>
      </c>
      <c r="Y2">
        <f>2*Q2*Q5</f>
        <v>7.883849091409785E-2</v>
      </c>
      <c r="Z2">
        <f>2*Q2*Q6</f>
        <v>3.6164445373439379E-3</v>
      </c>
      <c r="AB2" s="2">
        <v>1</v>
      </c>
      <c r="AC2">
        <f>IF(K2&gt;0, LOG(K2/V2,2), -LOG(1/V2,2) )</f>
        <v>-0.34824346929831523</v>
      </c>
      <c r="AD2">
        <f t="shared" ref="AD2:AG6" si="1">IF(L2&gt;0, LOG(L2/W2,2), -LOG(1/W2,2) )</f>
        <v>-1.5582929160169696</v>
      </c>
      <c r="AE2">
        <f t="shared" si="1"/>
        <v>-0.17653563325958549</v>
      </c>
      <c r="AF2">
        <f t="shared" si="1"/>
        <v>-1.4357063105486545</v>
      </c>
      <c r="AG2">
        <f t="shared" si="1"/>
        <v>-8.111212258346109</v>
      </c>
      <c r="AI2">
        <f>ABS(MIN(AC2:AG6))</f>
        <v>8.111212258346109</v>
      </c>
      <c r="AK2" s="2">
        <v>1</v>
      </c>
      <c r="AL2">
        <f>AC2+$AI$2</f>
        <v>7.7629687890477941</v>
      </c>
      <c r="AM2">
        <f t="shared" ref="AM2:AP6" si="2">AD2+$AI$2</f>
        <v>6.5529193423291394</v>
      </c>
      <c r="AN2">
        <f t="shared" si="2"/>
        <v>7.9346766250865235</v>
      </c>
      <c r="AO2">
        <f t="shared" si="2"/>
        <v>6.6755059477974541</v>
      </c>
      <c r="AP2">
        <f t="shared" si="2"/>
        <v>0</v>
      </c>
    </row>
    <row r="3" spans="1:42" x14ac:dyDescent="0.3">
      <c r="A3" s="2">
        <v>2</v>
      </c>
      <c r="B3">
        <v>24</v>
      </c>
      <c r="C3">
        <v>62</v>
      </c>
      <c r="D3" s="4">
        <v>32</v>
      </c>
      <c r="E3">
        <v>56</v>
      </c>
      <c r="F3">
        <v>4</v>
      </c>
      <c r="J3" s="2">
        <v>2</v>
      </c>
      <c r="K3">
        <f t="shared" si="0"/>
        <v>4.3715846994535519E-2</v>
      </c>
      <c r="L3">
        <f t="shared" si="0"/>
        <v>0.11293260473588343</v>
      </c>
      <c r="M3">
        <f t="shared" si="0"/>
        <v>5.8287795992714025E-2</v>
      </c>
      <c r="N3">
        <f t="shared" si="0"/>
        <v>0.10200364298724955</v>
      </c>
      <c r="O3">
        <f t="shared" si="0"/>
        <v>7.2859744990892532E-3</v>
      </c>
      <c r="Q3">
        <f t="shared" ref="Q3:Q6" si="3">SUM(K3:O3)</f>
        <v>0.32422586520947178</v>
      </c>
      <c r="U3" s="2">
        <v>2</v>
      </c>
      <c r="V3">
        <f>W2</f>
        <v>0.12874542552944418</v>
      </c>
      <c r="W3">
        <f>Q3^2</f>
        <v>0.10512241167083056</v>
      </c>
      <c r="X3">
        <f>2*Q3*Q4</f>
        <v>0.17481030255374069</v>
      </c>
      <c r="Y3">
        <f>2*Q3*Q5</f>
        <v>0.12874542552944418</v>
      </c>
      <c r="Z3">
        <f>2*Q3*Q6</f>
        <v>5.9057534646534023E-3</v>
      </c>
      <c r="AB3" s="2">
        <v>2</v>
      </c>
      <c r="AC3">
        <f t="shared" ref="AC3:AC6" si="4">IF(K3&gt;0, LOG(K3/V3,2), -LOG(1/V3,2) )</f>
        <v>-1.5582929160169696</v>
      </c>
      <c r="AD3">
        <f t="shared" si="1"/>
        <v>0.10339178745927825</v>
      </c>
      <c r="AE3">
        <f t="shared" si="1"/>
        <v>-1.5845244575901489</v>
      </c>
      <c r="AF3">
        <f t="shared" si="1"/>
        <v>-0.33590049468052152</v>
      </c>
      <c r="AG3">
        <f t="shared" si="1"/>
        <v>0.30300081315143856</v>
      </c>
      <c r="AK3" s="2">
        <v>2</v>
      </c>
      <c r="AL3">
        <f t="shared" ref="AL3:AL6" si="5">AC3+$AI$2</f>
        <v>6.5529193423291394</v>
      </c>
      <c r="AM3">
        <f t="shared" si="2"/>
        <v>8.2146040458053875</v>
      </c>
      <c r="AN3">
        <f t="shared" si="2"/>
        <v>6.5266878007559601</v>
      </c>
      <c r="AO3">
        <f t="shared" si="2"/>
        <v>7.775311763665588</v>
      </c>
      <c r="AP3">
        <f t="shared" si="2"/>
        <v>8.4142130714975476</v>
      </c>
    </row>
    <row r="4" spans="1:42" x14ac:dyDescent="0.3">
      <c r="A4" s="2">
        <v>3</v>
      </c>
      <c r="B4">
        <v>52</v>
      </c>
      <c r="C4" s="4">
        <v>32</v>
      </c>
      <c r="D4">
        <v>44</v>
      </c>
      <c r="E4" s="4">
        <v>20</v>
      </c>
      <c r="F4">
        <v>0</v>
      </c>
      <c r="J4" s="2">
        <v>3</v>
      </c>
      <c r="K4">
        <f t="shared" si="0"/>
        <v>9.4717668488160295E-2</v>
      </c>
      <c r="L4">
        <f t="shared" si="0"/>
        <v>5.8287795992714025E-2</v>
      </c>
      <c r="M4">
        <f t="shared" si="0"/>
        <v>8.0145719489981782E-2</v>
      </c>
      <c r="N4">
        <f t="shared" si="0"/>
        <v>3.6429872495446269E-2</v>
      </c>
      <c r="O4">
        <f t="shared" si="0"/>
        <v>0</v>
      </c>
      <c r="Q4">
        <f t="shared" si="3"/>
        <v>0.26958105646630237</v>
      </c>
      <c r="U4" s="2">
        <v>3</v>
      </c>
      <c r="V4">
        <f>X2</f>
        <v>0.10704675830538056</v>
      </c>
      <c r="W4">
        <f>X3</f>
        <v>0.17481030255374069</v>
      </c>
      <c r="X4">
        <f>Q4^2</f>
        <v>7.2673946005487711E-2</v>
      </c>
      <c r="Y4">
        <f>2*Q4*Q5</f>
        <v>0.10704675830538055</v>
      </c>
      <c r="Z4">
        <f>2*Q4*Q6</f>
        <v>4.9104017571275482E-3</v>
      </c>
      <c r="AB4" s="2">
        <v>3</v>
      </c>
      <c r="AC4">
        <f t="shared" si="4"/>
        <v>-0.17653563325958549</v>
      </c>
      <c r="AD4">
        <f t="shared" si="1"/>
        <v>-1.5845244575901489</v>
      </c>
      <c r="AE4">
        <f t="shared" si="1"/>
        <v>0.14118722638459621</v>
      </c>
      <c r="AF4">
        <f t="shared" si="1"/>
        <v>-1.5550472565133151</v>
      </c>
      <c r="AG4">
        <f t="shared" si="1"/>
        <v>-7.6699432174940849</v>
      </c>
      <c r="AK4" s="2">
        <v>3</v>
      </c>
      <c r="AL4">
        <f t="shared" si="5"/>
        <v>7.9346766250865235</v>
      </c>
      <c r="AM4">
        <f t="shared" si="2"/>
        <v>6.5266878007559601</v>
      </c>
      <c r="AN4">
        <f t="shared" si="2"/>
        <v>8.2523994847307058</v>
      </c>
      <c r="AO4">
        <f t="shared" si="2"/>
        <v>6.5561650018327935</v>
      </c>
      <c r="AP4">
        <f t="shared" si="2"/>
        <v>0.44126904085202412</v>
      </c>
    </row>
    <row r="5" spans="1:42" x14ac:dyDescent="0.3">
      <c r="A5" s="2">
        <v>4</v>
      </c>
      <c r="B5">
        <v>16</v>
      </c>
      <c r="C5">
        <v>56</v>
      </c>
      <c r="D5" s="4">
        <v>20</v>
      </c>
      <c r="E5">
        <v>17</v>
      </c>
      <c r="F5">
        <v>0</v>
      </c>
      <c r="J5" s="2">
        <v>4</v>
      </c>
      <c r="K5">
        <f t="shared" si="0"/>
        <v>2.9143897996357013E-2</v>
      </c>
      <c r="L5">
        <f t="shared" si="0"/>
        <v>0.10200364298724955</v>
      </c>
      <c r="M5">
        <f t="shared" si="0"/>
        <v>3.6429872495446269E-2</v>
      </c>
      <c r="N5">
        <f t="shared" si="0"/>
        <v>3.0965391621129327E-2</v>
      </c>
      <c r="O5">
        <f t="shared" si="0"/>
        <v>0</v>
      </c>
      <c r="Q5">
        <f t="shared" si="3"/>
        <v>0.19854280510018216</v>
      </c>
      <c r="U5" s="2">
        <v>4</v>
      </c>
      <c r="V5">
        <f>Y2</f>
        <v>7.883849091409785E-2</v>
      </c>
      <c r="W5">
        <f>Y3</f>
        <v>0.12874542552944418</v>
      </c>
      <c r="X5">
        <f>Y4</f>
        <v>0.10704675830538055</v>
      </c>
      <c r="Y5">
        <f>Q5^2</f>
        <v>3.9419245457048918E-2</v>
      </c>
      <c r="Z5">
        <f>2*Q5*Q6</f>
        <v>3.6164445373439375E-3</v>
      </c>
      <c r="AB5" s="2">
        <v>4</v>
      </c>
      <c r="AC5">
        <f t="shared" si="4"/>
        <v>-1.4357063105486545</v>
      </c>
      <c r="AD5">
        <f t="shared" si="1"/>
        <v>-0.33590049468052152</v>
      </c>
      <c r="AE5">
        <f t="shared" si="1"/>
        <v>-1.5550472565133151</v>
      </c>
      <c r="AF5">
        <f t="shared" si="1"/>
        <v>-0.34824346929831484</v>
      </c>
      <c r="AG5">
        <f t="shared" si="1"/>
        <v>-8.111212258346109</v>
      </c>
      <c r="AK5" s="2">
        <v>4</v>
      </c>
      <c r="AL5">
        <f t="shared" si="5"/>
        <v>6.6755059477974541</v>
      </c>
      <c r="AM5">
        <f t="shared" si="2"/>
        <v>7.775311763665588</v>
      </c>
      <c r="AN5">
        <f t="shared" si="2"/>
        <v>6.5561650018327935</v>
      </c>
      <c r="AO5">
        <f t="shared" si="2"/>
        <v>7.7629687890477941</v>
      </c>
      <c r="AP5">
        <f t="shared" si="2"/>
        <v>0</v>
      </c>
    </row>
    <row r="6" spans="1:42" x14ac:dyDescent="0.3">
      <c r="A6" s="2" t="s">
        <v>17</v>
      </c>
      <c r="B6">
        <v>0</v>
      </c>
      <c r="C6">
        <v>4</v>
      </c>
      <c r="D6">
        <v>0</v>
      </c>
      <c r="E6">
        <v>0</v>
      </c>
      <c r="F6">
        <v>1</v>
      </c>
      <c r="J6" s="2" t="s">
        <v>17</v>
      </c>
      <c r="K6">
        <f t="shared" si="0"/>
        <v>0</v>
      </c>
      <c r="L6">
        <f t="shared" si="0"/>
        <v>7.2859744990892532E-3</v>
      </c>
      <c r="M6">
        <f t="shared" si="0"/>
        <v>0</v>
      </c>
      <c r="N6">
        <f t="shared" si="0"/>
        <v>0</v>
      </c>
      <c r="O6">
        <f t="shared" si="0"/>
        <v>1.8214936247723133E-3</v>
      </c>
      <c r="Q6">
        <f t="shared" si="3"/>
        <v>9.1074681238615673E-3</v>
      </c>
      <c r="U6" s="2" t="s">
        <v>17</v>
      </c>
      <c r="V6">
        <f>Z2</f>
        <v>3.6164445373439379E-3</v>
      </c>
      <c r="W6">
        <f>Z3</f>
        <v>5.9057534646534023E-3</v>
      </c>
      <c r="X6">
        <f>Z4</f>
        <v>4.9104017571275482E-3</v>
      </c>
      <c r="Y6">
        <f>Z5</f>
        <v>3.6164445373439375E-3</v>
      </c>
      <c r="Z6">
        <f>Q6^2</f>
        <v>8.2945975627154531E-5</v>
      </c>
      <c r="AB6" s="2" t="s">
        <v>17</v>
      </c>
      <c r="AC6">
        <f t="shared" si="4"/>
        <v>-8.111212258346109</v>
      </c>
      <c r="AD6">
        <f t="shared" si="1"/>
        <v>0.30300081315143856</v>
      </c>
      <c r="AE6">
        <f>IF(M6&gt;0, LOG(M6/X6,2), -LOG(1/X6,2) )</f>
        <v>-7.6699432174940849</v>
      </c>
      <c r="AF6">
        <f t="shared" si="1"/>
        <v>-8.111212258346109</v>
      </c>
      <c r="AG6">
        <f t="shared" si="1"/>
        <v>4.4568061492304745</v>
      </c>
      <c r="AK6" s="2" t="s">
        <v>17</v>
      </c>
      <c r="AL6">
        <f t="shared" si="5"/>
        <v>0</v>
      </c>
      <c r="AM6">
        <f t="shared" si="2"/>
        <v>8.4142130714975476</v>
      </c>
      <c r="AN6">
        <f t="shared" si="2"/>
        <v>0.44126904085202412</v>
      </c>
      <c r="AO6">
        <f t="shared" si="2"/>
        <v>0</v>
      </c>
      <c r="AP6">
        <f t="shared" si="2"/>
        <v>12.568018407576584</v>
      </c>
    </row>
    <row r="8" spans="1:42" x14ac:dyDescent="0.3">
      <c r="A8" s="2" t="s">
        <v>10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H8" s="3" t="s">
        <v>24</v>
      </c>
      <c r="J8" s="3" t="s">
        <v>25</v>
      </c>
      <c r="K8" s="3">
        <v>1</v>
      </c>
      <c r="L8" s="3">
        <v>2</v>
      </c>
      <c r="M8" s="3">
        <v>3</v>
      </c>
      <c r="N8" s="3">
        <v>4</v>
      </c>
      <c r="O8" s="3">
        <v>5</v>
      </c>
      <c r="Q8" s="3" t="s">
        <v>26</v>
      </c>
      <c r="S8" s="3" t="s">
        <v>20</v>
      </c>
      <c r="U8" s="3" t="s">
        <v>27</v>
      </c>
      <c r="V8" s="3">
        <v>1</v>
      </c>
      <c r="W8" s="3">
        <v>2</v>
      </c>
      <c r="X8" s="3">
        <v>3</v>
      </c>
      <c r="Y8" s="3">
        <v>4</v>
      </c>
      <c r="Z8" s="3">
        <v>5</v>
      </c>
      <c r="AB8" s="3" t="s">
        <v>31</v>
      </c>
      <c r="AC8" s="3"/>
      <c r="AD8" s="3" t="s">
        <v>33</v>
      </c>
      <c r="AE8" s="3">
        <v>1</v>
      </c>
      <c r="AF8" s="3">
        <v>2</v>
      </c>
      <c r="AG8" s="3">
        <v>3</v>
      </c>
      <c r="AH8" s="3">
        <v>4</v>
      </c>
      <c r="AI8" s="3">
        <v>5</v>
      </c>
    </row>
    <row r="9" spans="1:42" x14ac:dyDescent="0.3">
      <c r="A9" s="2">
        <v>1</v>
      </c>
      <c r="B9">
        <v>0</v>
      </c>
      <c r="C9">
        <v>2</v>
      </c>
      <c r="D9">
        <v>2</v>
      </c>
      <c r="E9">
        <v>6</v>
      </c>
      <c r="F9">
        <v>0</v>
      </c>
      <c r="H9">
        <f>SUM(B9:F9)</f>
        <v>10</v>
      </c>
      <c r="J9" s="5">
        <v>1</v>
      </c>
      <c r="K9">
        <f>B9/$H$9</f>
        <v>0</v>
      </c>
      <c r="L9">
        <f t="shared" ref="L9:O9" si="6">C9/$H$9</f>
        <v>0.2</v>
      </c>
      <c r="M9">
        <f t="shared" si="6"/>
        <v>0.2</v>
      </c>
      <c r="N9">
        <f t="shared" si="6"/>
        <v>0.6</v>
      </c>
      <c r="O9">
        <f t="shared" si="6"/>
        <v>0</v>
      </c>
      <c r="Q9">
        <f>SUM(H9:H13)</f>
        <v>58</v>
      </c>
      <c r="S9">
        <f>H9/$Q$9</f>
        <v>0.17241379310344829</v>
      </c>
      <c r="U9" s="3">
        <v>1</v>
      </c>
      <c r="V9">
        <f>IF(K9&gt;0, LOG(K9/(S9^2),2), -LOG(1/(S9^2),2))</f>
        <v>-5.0721058004804194</v>
      </c>
      <c r="W9">
        <f>IF(L9&gt;0, LOG(L9/(S9*S10),2), -LOG(1/(S9*S10),2))</f>
        <v>1.7501777055930572</v>
      </c>
      <c r="X9">
        <f>IF(M9&gt;0, LOG(M9/(S9*S11),2), -LOG(1/(S9*S11),2))</f>
        <v>2.0721058004804194</v>
      </c>
      <c r="Y9">
        <f>IF(N9&gt;0, LOG(N9/(S9*S12),2), -LOG(1/(S9*S12),2))</f>
        <v>4.3351402063142128</v>
      </c>
      <c r="Z9">
        <f>IF(O9&gt;0, LOG(O9/(S9*S13),2), -LOG(1/(S9*S13),2))</f>
        <v>-7.394033895367782</v>
      </c>
      <c r="AB9" s="6">
        <f>ABS(MIN(V9:Z13))</f>
        <v>9.7159619902551455</v>
      </c>
      <c r="AD9" s="3">
        <v>1</v>
      </c>
      <c r="AE9">
        <f>V9+$AB$9</f>
        <v>4.6438561897747261</v>
      </c>
      <c r="AF9">
        <f t="shared" ref="AF9:AI13" si="7">W9+$AB$9</f>
        <v>11.466139695848202</v>
      </c>
      <c r="AG9">
        <f t="shared" si="7"/>
        <v>11.788067790735564</v>
      </c>
      <c r="AH9">
        <f t="shared" si="7"/>
        <v>14.051102196569358</v>
      </c>
      <c r="AI9">
        <f t="shared" si="7"/>
        <v>2.3219280948873635</v>
      </c>
    </row>
    <row r="10" spans="1:42" x14ac:dyDescent="0.3">
      <c r="A10" s="2">
        <v>2</v>
      </c>
      <c r="B10">
        <v>12</v>
      </c>
      <c r="C10">
        <v>0</v>
      </c>
      <c r="D10">
        <v>6</v>
      </c>
      <c r="E10">
        <v>2</v>
      </c>
      <c r="F10">
        <v>0</v>
      </c>
      <c r="H10">
        <f>SUM(B10:F10)</f>
        <v>20</v>
      </c>
      <c r="J10" s="5">
        <v>2</v>
      </c>
      <c r="K10">
        <f>B10/$H$10</f>
        <v>0.6</v>
      </c>
      <c r="L10">
        <f t="shared" ref="L10:O10" si="8">C10/$H$10</f>
        <v>0</v>
      </c>
      <c r="M10">
        <f t="shared" si="8"/>
        <v>0.3</v>
      </c>
      <c r="N10">
        <f t="shared" si="8"/>
        <v>0.1</v>
      </c>
      <c r="O10">
        <f t="shared" si="8"/>
        <v>0</v>
      </c>
      <c r="S10">
        <f t="shared" ref="S10:S13" si="9">H10/$Q$9</f>
        <v>0.34482758620689657</v>
      </c>
      <c r="U10" s="3">
        <v>2</v>
      </c>
      <c r="V10">
        <f>IF(K10&gt;0,LOG(K10/(S9*S10),2), -LOG(1/(S9*S10),2))</f>
        <v>3.3351402063142137</v>
      </c>
      <c r="W10">
        <f>IF(L10&gt;0, LOG(L10/(S10^2),2), -LOG(1/(S10^2),2))</f>
        <v>-3.0721058004804194</v>
      </c>
      <c r="X10">
        <f>IF(M10&gt;0, LOG(M10/(S10*S11),2), -LOG(1/S10*S11))</f>
        <v>1.6570683012015757</v>
      </c>
      <c r="Y10">
        <f>IF(N10&gt;0, LOG(N10/(S10*S12),2), -LOG(1/(S10*S12),2))</f>
        <v>0.75017770559305719</v>
      </c>
      <c r="Z10">
        <f>IF(O10 &gt;0, LOG(O10/(S10*S13),2), -LOG(1/(S10*S13),2))</f>
        <v>-6.394033895367782</v>
      </c>
      <c r="AB10" s="3"/>
      <c r="AD10" s="3">
        <v>2</v>
      </c>
      <c r="AE10">
        <f t="shared" ref="AE10:AE13" si="10">V10+$AB$9</f>
        <v>13.05110219656936</v>
      </c>
      <c r="AF10">
        <f t="shared" si="7"/>
        <v>6.6438561897747261</v>
      </c>
      <c r="AG10">
        <f t="shared" si="7"/>
        <v>11.373030291456722</v>
      </c>
      <c r="AH10">
        <f t="shared" si="7"/>
        <v>10.466139695848202</v>
      </c>
      <c r="AI10">
        <f t="shared" si="7"/>
        <v>3.3219280948873635</v>
      </c>
    </row>
    <row r="11" spans="1:42" x14ac:dyDescent="0.3">
      <c r="A11" s="2">
        <v>3</v>
      </c>
      <c r="B11">
        <v>2</v>
      </c>
      <c r="C11">
        <v>8</v>
      </c>
      <c r="D11">
        <v>0</v>
      </c>
      <c r="E11">
        <v>6</v>
      </c>
      <c r="F11">
        <v>0</v>
      </c>
      <c r="H11">
        <f>SUM(B11:F11)</f>
        <v>16</v>
      </c>
      <c r="J11" s="5">
        <v>3</v>
      </c>
      <c r="K11">
        <f>B11/$H$11</f>
        <v>0.125</v>
      </c>
      <c r="L11">
        <f t="shared" ref="L11:O11" si="11">C11/$H$11</f>
        <v>0.5</v>
      </c>
      <c r="M11">
        <f t="shared" si="11"/>
        <v>0</v>
      </c>
      <c r="N11">
        <f t="shared" si="11"/>
        <v>0.375</v>
      </c>
      <c r="O11">
        <f t="shared" si="11"/>
        <v>0</v>
      </c>
      <c r="S11">
        <f t="shared" si="9"/>
        <v>0.27586206896551724</v>
      </c>
      <c r="U11" s="3">
        <v>3</v>
      </c>
      <c r="V11">
        <f>IF(K11&gt;0,LOG(K11/(S9*S11),2), -LOG(1/(S9*S11)))</f>
        <v>1.3940338953677818</v>
      </c>
      <c r="W11">
        <f>IF(K11&gt;0, LOG(L11/(S10*S11),2), -LOG(1/(S10*S11),2))</f>
        <v>2.394033895367782</v>
      </c>
      <c r="X11">
        <f>IF(M11&gt;0, LOG(M11/(S11^2),2), -LOG(1/(S11^2),2))</f>
        <v>-3.7159619902551446</v>
      </c>
      <c r="Y11">
        <f>IF(N11 &gt;0,LOG(N11/(S12*S11),2), -LOG(1/(S12*S11),2))</f>
        <v>2.9789963960889381</v>
      </c>
      <c r="Z11">
        <f>IF(O11&gt;0, LOG(O11/(S11*S13),2), -LOG(1/(S11*S13),2))</f>
        <v>-6.7159619902551446</v>
      </c>
      <c r="AB11" s="3"/>
      <c r="AD11" s="3">
        <v>3</v>
      </c>
      <c r="AE11">
        <f t="shared" si="10"/>
        <v>11.109995885622928</v>
      </c>
      <c r="AF11">
        <f t="shared" si="7"/>
        <v>12.109995885622928</v>
      </c>
      <c r="AG11">
        <f t="shared" si="7"/>
        <v>6.0000000000000009</v>
      </c>
      <c r="AH11">
        <f t="shared" si="7"/>
        <v>12.694958386344084</v>
      </c>
      <c r="AI11">
        <f t="shared" si="7"/>
        <v>3.0000000000000009</v>
      </c>
    </row>
    <row r="12" spans="1:42" x14ac:dyDescent="0.3">
      <c r="A12" s="2">
        <v>4</v>
      </c>
      <c r="B12">
        <v>2</v>
      </c>
      <c r="C12">
        <v>2</v>
      </c>
      <c r="D12">
        <v>6</v>
      </c>
      <c r="E12">
        <v>0</v>
      </c>
      <c r="F12">
        <v>0</v>
      </c>
      <c r="H12">
        <f>SUM(B12:F12)</f>
        <v>10</v>
      </c>
      <c r="J12" s="5">
        <v>4</v>
      </c>
      <c r="K12">
        <f>B12/$H$12</f>
        <v>0.2</v>
      </c>
      <c r="L12">
        <f t="shared" ref="L12:O12" si="12">C12/$H$12</f>
        <v>0.2</v>
      </c>
      <c r="M12">
        <f t="shared" si="12"/>
        <v>0.6</v>
      </c>
      <c r="N12">
        <f t="shared" si="12"/>
        <v>0</v>
      </c>
      <c r="O12">
        <f t="shared" si="12"/>
        <v>0</v>
      </c>
      <c r="S12">
        <f t="shared" si="9"/>
        <v>0.17241379310344829</v>
      </c>
      <c r="U12" s="3">
        <v>4</v>
      </c>
      <c r="V12">
        <f>IF(K12&gt;0, LOG(K12/(S9*S12),2), -LOG(1/(S9*S12),2))</f>
        <v>2.7501777055930572</v>
      </c>
      <c r="W12">
        <f>IF(L12&gt;0, LOG(L12/(S10*S12),2), -LOG(1/(S10*S12),2))</f>
        <v>1.7501777055930572</v>
      </c>
      <c r="X12">
        <f>IF(M12&gt;0, LOG(M12/(S11*S12),2), -LOG(1/(S11*S12),2))</f>
        <v>3.6570683012015759</v>
      </c>
      <c r="Y12">
        <f>IF(N12&gt;0, LOG(N12/(S12^2),2), -LOG(1/(S12^2),2))</f>
        <v>-5.0721058004804194</v>
      </c>
      <c r="Z12">
        <f>IF(O12&gt;0, LOG(O12/(S12*S13),2), -LOG(1/(S12*S13),2))</f>
        <v>-7.394033895367782</v>
      </c>
      <c r="AB12" s="3"/>
      <c r="AD12" s="3">
        <v>4</v>
      </c>
      <c r="AE12">
        <f t="shared" si="10"/>
        <v>12.466139695848202</v>
      </c>
      <c r="AF12">
        <f t="shared" si="7"/>
        <v>11.466139695848202</v>
      </c>
      <c r="AG12">
        <f t="shared" si="7"/>
        <v>13.373030291456722</v>
      </c>
      <c r="AH12">
        <f t="shared" si="7"/>
        <v>4.6438561897747261</v>
      </c>
      <c r="AI12">
        <f t="shared" si="7"/>
        <v>2.3219280948873635</v>
      </c>
    </row>
    <row r="13" spans="1:42" x14ac:dyDescent="0.3">
      <c r="A13" s="2" t="s">
        <v>17</v>
      </c>
      <c r="B13">
        <v>2</v>
      </c>
      <c r="C13">
        <v>0</v>
      </c>
      <c r="D13">
        <v>0</v>
      </c>
      <c r="E13">
        <v>0</v>
      </c>
      <c r="F13">
        <v>0</v>
      </c>
      <c r="H13">
        <f>SUM(B13:F13)</f>
        <v>2</v>
      </c>
      <c r="J13" s="5">
        <v>5</v>
      </c>
      <c r="K13">
        <f>B13/$H$13</f>
        <v>1</v>
      </c>
      <c r="L13">
        <f t="shared" ref="L13:O13" si="13">C13/$H$13</f>
        <v>0</v>
      </c>
      <c r="M13">
        <f t="shared" si="13"/>
        <v>0</v>
      </c>
      <c r="N13">
        <f t="shared" si="13"/>
        <v>0</v>
      </c>
      <c r="O13">
        <f t="shared" si="13"/>
        <v>0</v>
      </c>
      <c r="S13">
        <f t="shared" si="9"/>
        <v>3.4482758620689655E-2</v>
      </c>
      <c r="U13" s="3">
        <v>5</v>
      </c>
      <c r="V13">
        <f>IF(K13&gt;0, LOG(K13/(S9*S13),2), -LOG(1/(S9*S13),2))</f>
        <v>7.394033895367782</v>
      </c>
      <c r="W13">
        <f>IF(L13&gt;0, LOG(L13/(S10*S13),2), -LOG(1/(S10*S13),2))</f>
        <v>-6.394033895367782</v>
      </c>
      <c r="X13">
        <f>IF(M13&gt;0, LOG(M13/(S11*S13),2), -LOG(1/(S11*S13),2))</f>
        <v>-6.7159619902551446</v>
      </c>
      <c r="Y13">
        <f>IF(N13 &gt;0, LOG(N13/(S12*S13),2), -LOG(1/(S12*S13),2))</f>
        <v>-7.394033895367782</v>
      </c>
      <c r="Z13">
        <f>IF(O13&gt;0, LOG(O13/(S13^2),2), -LOG(1/(S13^2),2))</f>
        <v>-9.7159619902551455</v>
      </c>
      <c r="AB13" s="3"/>
      <c r="AD13" s="3">
        <v>5</v>
      </c>
      <c r="AE13">
        <f t="shared" si="10"/>
        <v>17.109995885622929</v>
      </c>
      <c r="AF13">
        <f t="shared" si="7"/>
        <v>3.3219280948873635</v>
      </c>
      <c r="AG13">
        <f t="shared" si="7"/>
        <v>3.0000000000000009</v>
      </c>
      <c r="AH13">
        <f t="shared" si="7"/>
        <v>2.3219280948873635</v>
      </c>
      <c r="AI13">
        <f t="shared" si="7"/>
        <v>0</v>
      </c>
    </row>
    <row r="15" spans="1:42" x14ac:dyDescent="0.3">
      <c r="A15" s="2" t="s">
        <v>28</v>
      </c>
      <c r="B15" s="3">
        <v>1</v>
      </c>
      <c r="C15" s="3">
        <v>2</v>
      </c>
      <c r="D15" s="3">
        <v>3</v>
      </c>
      <c r="E15" s="3">
        <v>4</v>
      </c>
      <c r="F15" s="3">
        <v>5</v>
      </c>
      <c r="H15" s="3" t="s">
        <v>24</v>
      </c>
      <c r="J15" s="3" t="s">
        <v>29</v>
      </c>
      <c r="K15" s="3">
        <v>1</v>
      </c>
      <c r="L15" s="3">
        <v>2</v>
      </c>
      <c r="M15" s="3">
        <v>3</v>
      </c>
      <c r="N15" s="3">
        <v>4</v>
      </c>
      <c r="O15" s="3">
        <v>5</v>
      </c>
      <c r="Q15" s="3" t="s">
        <v>26</v>
      </c>
      <c r="S15" s="3" t="s">
        <v>20</v>
      </c>
      <c r="U15" s="3" t="s">
        <v>30</v>
      </c>
      <c r="V15" s="3">
        <v>1</v>
      </c>
      <c r="W15" s="3">
        <v>2</v>
      </c>
      <c r="X15" s="3">
        <v>3</v>
      </c>
      <c r="Y15" s="3">
        <v>4</v>
      </c>
      <c r="Z15" s="3">
        <v>5</v>
      </c>
      <c r="AB15" s="3" t="s">
        <v>31</v>
      </c>
      <c r="AC15" s="3"/>
      <c r="AD15" s="3" t="s">
        <v>33</v>
      </c>
      <c r="AE15" s="3">
        <v>1</v>
      </c>
      <c r="AF15" s="3">
        <v>2</v>
      </c>
      <c r="AG15" s="3">
        <v>3</v>
      </c>
      <c r="AH15" s="3">
        <v>4</v>
      </c>
      <c r="AI15" s="3">
        <v>5</v>
      </c>
    </row>
    <row r="16" spans="1:42" x14ac:dyDescent="0.3">
      <c r="A16" s="2">
        <v>1</v>
      </c>
      <c r="B16">
        <v>2</v>
      </c>
      <c r="C16">
        <v>6</v>
      </c>
      <c r="D16">
        <v>0</v>
      </c>
      <c r="E16">
        <v>2</v>
      </c>
      <c r="F16">
        <v>0</v>
      </c>
      <c r="H16">
        <f>SUM(B16:F16)</f>
        <v>10</v>
      </c>
      <c r="J16" s="5">
        <v>1</v>
      </c>
      <c r="K16">
        <f>B16/$H$16</f>
        <v>0.2</v>
      </c>
      <c r="L16">
        <f t="shared" ref="L16:O16" si="14">C16/$H$16</f>
        <v>0.6</v>
      </c>
      <c r="M16">
        <f t="shared" si="14"/>
        <v>0</v>
      </c>
      <c r="N16">
        <f t="shared" si="14"/>
        <v>0.2</v>
      </c>
      <c r="O16">
        <f t="shared" si="14"/>
        <v>0</v>
      </c>
      <c r="Q16">
        <f>SUM(H16:H20)</f>
        <v>58</v>
      </c>
      <c r="S16">
        <f>H16/$Q$9</f>
        <v>0.17241379310344829</v>
      </c>
      <c r="U16" s="3">
        <v>1</v>
      </c>
      <c r="V16">
        <f>IF(K16&gt;0, LOG(K16/(S16^2),2), -LOG(1/(S16^2),2))</f>
        <v>2.7501777055930572</v>
      </c>
      <c r="W16">
        <f>IF(L16&gt;0, LOG(L16/(S16*S17),2), -LOG(1/(S16*S17),2))</f>
        <v>3.3351402063142137</v>
      </c>
      <c r="X16">
        <f>IF(M16&gt;0, LOG(M16/(S16*S18),2), -LOG(1/(S16*S18),2))</f>
        <v>-4.394033895367782</v>
      </c>
      <c r="Y16">
        <f>IF(N16&gt;0, LOG(N16/(S16*S19),2), -LOG(1/(S16*S19),2))</f>
        <v>2.7501777055930572</v>
      </c>
      <c r="Z16">
        <f>IF(O16&gt;0, LOG(O16/(S16*S20),2), -LOG(1/(S16*S20),2))</f>
        <v>-7.394033895367782</v>
      </c>
      <c r="AB16" s="6">
        <f>ABS(MIN(V16:Z20))</f>
        <v>7.394033895367782</v>
      </c>
      <c r="AD16" s="3">
        <v>1</v>
      </c>
      <c r="AE16">
        <f>V16+$AB$16</f>
        <v>10.144211600960839</v>
      </c>
      <c r="AF16">
        <f t="shared" ref="AF16:AI20" si="15">W16+$AB$16</f>
        <v>10.729174101681995</v>
      </c>
      <c r="AG16">
        <f t="shared" si="15"/>
        <v>3</v>
      </c>
      <c r="AH16">
        <f t="shared" si="15"/>
        <v>10.144211600960839</v>
      </c>
      <c r="AI16">
        <f t="shared" si="15"/>
        <v>0</v>
      </c>
    </row>
    <row r="17" spans="1:35" x14ac:dyDescent="0.3">
      <c r="A17" s="2">
        <v>2</v>
      </c>
      <c r="B17">
        <v>6</v>
      </c>
      <c r="C17">
        <v>2</v>
      </c>
      <c r="D17">
        <v>10</v>
      </c>
      <c r="E17">
        <v>0</v>
      </c>
      <c r="F17">
        <v>2</v>
      </c>
      <c r="H17">
        <f>SUM(B17:F17)</f>
        <v>20</v>
      </c>
      <c r="J17" s="5">
        <v>2</v>
      </c>
      <c r="K17">
        <f>B17/$H$17</f>
        <v>0.3</v>
      </c>
      <c r="L17">
        <f t="shared" ref="L17:O17" si="16">C17/$H$17</f>
        <v>0.1</v>
      </c>
      <c r="M17">
        <f t="shared" si="16"/>
        <v>0.5</v>
      </c>
      <c r="N17">
        <f t="shared" si="16"/>
        <v>0</v>
      </c>
      <c r="O17">
        <f t="shared" si="16"/>
        <v>0.1</v>
      </c>
      <c r="S17">
        <f t="shared" ref="S17:S20" si="17">H17/$Q$9</f>
        <v>0.34482758620689657</v>
      </c>
      <c r="U17" s="3">
        <v>2</v>
      </c>
      <c r="V17">
        <f>IF(K17&gt;0,LOG(K17/(S16*S17),2), -LOG(1/(S16*S17),2))</f>
        <v>2.3351402063142133</v>
      </c>
      <c r="W17">
        <f>IF(L17&gt;0, LOG(L17/(S17^2),2), -LOG(1/(S17^2),2))</f>
        <v>-0.24982229440694287</v>
      </c>
      <c r="X17">
        <f>IF(M17&gt;0, LOG(M17/(S17*S18),2), -LOG(1/S17*S18))</f>
        <v>2.394033895367782</v>
      </c>
      <c r="Y17">
        <f>IF(N17&gt;0, LOG(N17/(S17*S19),2), -LOG(1/(S17*S19),2))</f>
        <v>-4.0721058004804194</v>
      </c>
      <c r="Z17">
        <f>IF(O17 &gt;0, LOG(O17/(S17*S20),2), -LOG(1/(S17*S20),2))</f>
        <v>3.0721058004804194</v>
      </c>
      <c r="AB17" s="3"/>
      <c r="AD17" s="3">
        <v>2</v>
      </c>
      <c r="AE17">
        <f t="shared" ref="AE17:AE20" si="18">V17+$AB$16</f>
        <v>9.7291741016819948</v>
      </c>
      <c r="AF17">
        <f t="shared" si="15"/>
        <v>7.1442116009608387</v>
      </c>
      <c r="AG17">
        <f t="shared" si="15"/>
        <v>9.788067790735564</v>
      </c>
      <c r="AH17">
        <f t="shared" si="15"/>
        <v>3.3219280948873626</v>
      </c>
      <c r="AI17">
        <f t="shared" si="15"/>
        <v>10.466139695848202</v>
      </c>
    </row>
    <row r="18" spans="1:35" x14ac:dyDescent="0.3">
      <c r="A18" s="2">
        <v>3</v>
      </c>
      <c r="B18">
        <v>0</v>
      </c>
      <c r="C18">
        <v>6</v>
      </c>
      <c r="D18">
        <v>2</v>
      </c>
      <c r="E18">
        <v>8</v>
      </c>
      <c r="F18">
        <v>0</v>
      </c>
      <c r="H18">
        <f>SUM(B18:F18)</f>
        <v>16</v>
      </c>
      <c r="J18" s="5">
        <v>3</v>
      </c>
      <c r="K18">
        <f>B18/$H$18</f>
        <v>0</v>
      </c>
      <c r="L18">
        <f t="shared" ref="L18:O18" si="19">C18/$H$18</f>
        <v>0.375</v>
      </c>
      <c r="M18">
        <f t="shared" si="19"/>
        <v>0.125</v>
      </c>
      <c r="N18">
        <f t="shared" si="19"/>
        <v>0.5</v>
      </c>
      <c r="O18">
        <f t="shared" si="19"/>
        <v>0</v>
      </c>
      <c r="S18">
        <f t="shared" si="17"/>
        <v>0.27586206896551724</v>
      </c>
      <c r="U18" s="3">
        <v>3</v>
      </c>
      <c r="V18">
        <f>IF(K18&gt;0,LOG(K18/(S16*S18),2), -LOG(1/(S16*S18)))</f>
        <v>-1.3227360044699497</v>
      </c>
      <c r="W18">
        <f>IF(L18&gt;0, LOG(L18/(S17*S18),2), -LOG(1/(S17*S18),2))</f>
        <v>1.9789963960889381</v>
      </c>
      <c r="X18">
        <f>IF(M18&gt;0, LOG(M18/(S18^2),2), -LOG(1/(S18^2),2))</f>
        <v>0.71596199025514451</v>
      </c>
      <c r="Y18">
        <f>IF(N18 &gt;0,LOG(N18/(S19*S18),2), -LOG(1/(S19*S18),2))</f>
        <v>3.3940338953677816</v>
      </c>
      <c r="Z18">
        <f>IF(O18&gt;0, LOG(O18/(S18*S20),2), -LOG(1/(S18*S20),2))</f>
        <v>-6.7159619902551446</v>
      </c>
      <c r="AB18" s="3"/>
      <c r="AD18" s="3">
        <v>3</v>
      </c>
      <c r="AE18">
        <f t="shared" si="18"/>
        <v>6.0712978908978323</v>
      </c>
      <c r="AF18">
        <f t="shared" si="15"/>
        <v>9.3730302914567201</v>
      </c>
      <c r="AG18">
        <f t="shared" si="15"/>
        <v>8.1099958856229257</v>
      </c>
      <c r="AH18">
        <f t="shared" si="15"/>
        <v>10.788067790735564</v>
      </c>
      <c r="AI18">
        <f t="shared" si="15"/>
        <v>0.67807190511263737</v>
      </c>
    </row>
    <row r="19" spans="1:35" x14ac:dyDescent="0.3">
      <c r="A19" s="2">
        <v>4</v>
      </c>
      <c r="B19">
        <v>6</v>
      </c>
      <c r="C19">
        <v>0</v>
      </c>
      <c r="D19">
        <v>2</v>
      </c>
      <c r="E19">
        <v>2</v>
      </c>
      <c r="F19">
        <v>0</v>
      </c>
      <c r="H19">
        <f>SUM(B19:F19)</f>
        <v>10</v>
      </c>
      <c r="J19" s="5">
        <v>4</v>
      </c>
      <c r="K19">
        <f>B19/$H$19</f>
        <v>0.6</v>
      </c>
      <c r="L19">
        <f t="shared" ref="L19:O19" si="20">C19/$H$19</f>
        <v>0</v>
      </c>
      <c r="M19">
        <f t="shared" si="20"/>
        <v>0.2</v>
      </c>
      <c r="N19">
        <f t="shared" si="20"/>
        <v>0.2</v>
      </c>
      <c r="O19">
        <f t="shared" si="20"/>
        <v>0</v>
      </c>
      <c r="S19">
        <f t="shared" si="17"/>
        <v>0.17241379310344829</v>
      </c>
      <c r="U19" s="3">
        <v>4</v>
      </c>
      <c r="V19">
        <f>IF(K19&gt;0, LOG(K19/(S16*S19),2), -LOG(1/(S16*S19),2))</f>
        <v>4.3351402063142128</v>
      </c>
      <c r="W19">
        <f>IF(L19&gt;0, LOG(L19/(S17*S19),2), -LOG(1/(S17*S19),2))</f>
        <v>-4.0721058004804194</v>
      </c>
      <c r="X19">
        <f>IF(M19&gt;0, LOG(M19/(S18*S19),2), -LOG(1/(S18*S19),2))</f>
        <v>2.0721058004804194</v>
      </c>
      <c r="Y19">
        <f>IF(N19&gt;0, LOG(N19/(S19^2),2), -LOG(1/(S19^2),2))</f>
        <v>2.7501777055930572</v>
      </c>
      <c r="Z19">
        <f>IF(O19&gt;0, LOG(O19/(S19*S20),2), -LOG(1/(S19*S20),2))</f>
        <v>-7.394033895367782</v>
      </c>
      <c r="AB19" s="3"/>
      <c r="AD19" s="3">
        <v>4</v>
      </c>
      <c r="AE19">
        <f t="shared" si="18"/>
        <v>11.729174101681995</v>
      </c>
      <c r="AF19">
        <f t="shared" si="15"/>
        <v>3.3219280948873626</v>
      </c>
      <c r="AG19">
        <f t="shared" si="15"/>
        <v>9.4661396958482023</v>
      </c>
      <c r="AH19">
        <f t="shared" si="15"/>
        <v>10.144211600960839</v>
      </c>
      <c r="AI19">
        <f t="shared" si="15"/>
        <v>0</v>
      </c>
    </row>
    <row r="20" spans="1:35" x14ac:dyDescent="0.3">
      <c r="A20" s="2" t="s">
        <v>17</v>
      </c>
      <c r="B20">
        <v>0</v>
      </c>
      <c r="C20">
        <v>0</v>
      </c>
      <c r="D20">
        <v>0</v>
      </c>
      <c r="E20">
        <v>0</v>
      </c>
      <c r="F20">
        <v>2</v>
      </c>
      <c r="H20">
        <f>SUM(B20:F20)</f>
        <v>2</v>
      </c>
      <c r="J20" s="5">
        <v>5</v>
      </c>
      <c r="K20">
        <f>B20/$H$20</f>
        <v>0</v>
      </c>
      <c r="L20">
        <f t="shared" ref="L20:O20" si="21">C20/$H$20</f>
        <v>0</v>
      </c>
      <c r="M20">
        <f t="shared" si="21"/>
        <v>0</v>
      </c>
      <c r="N20">
        <f t="shared" si="21"/>
        <v>0</v>
      </c>
      <c r="O20">
        <f t="shared" si="21"/>
        <v>1</v>
      </c>
      <c r="S20">
        <f t="shared" si="17"/>
        <v>3.4482758620689655E-2</v>
      </c>
      <c r="U20" s="3">
        <v>5</v>
      </c>
      <c r="V20">
        <f>IF(K20&gt;0, LOG(K20/(S16*S20),2), -LOG(1/(S16*S20),2))</f>
        <v>-7.394033895367782</v>
      </c>
      <c r="W20">
        <f>IF(L20&gt;0, LOG(L20/(S17*S20),2), -LOG(1/(S17*S20),2))</f>
        <v>-6.394033895367782</v>
      </c>
      <c r="X20">
        <f>IF(M20&gt;0, LOG(M20/(S18*S20),2), -LOG(1/(S18*S20),2))</f>
        <v>-6.7159619902551446</v>
      </c>
      <c r="Y20">
        <f>IF(N20 &gt;0, LOG(N20/(S19*S20),2), -LOG(1/(S19*S20),2))</f>
        <v>-7.394033895367782</v>
      </c>
      <c r="Z20">
        <f>IF(O20&gt;0, LOG(O20/(S20^2),2), -LOG(1/(S20^2),2))</f>
        <v>9.7159619902551455</v>
      </c>
      <c r="AB20" s="3"/>
      <c r="AD20" s="3">
        <v>5</v>
      </c>
      <c r="AE20">
        <f t="shared" si="18"/>
        <v>0</v>
      </c>
      <c r="AF20">
        <f t="shared" si="15"/>
        <v>1</v>
      </c>
      <c r="AG20">
        <f t="shared" si="15"/>
        <v>0.67807190511263737</v>
      </c>
      <c r="AH20">
        <f t="shared" si="15"/>
        <v>0</v>
      </c>
      <c r="AI20">
        <f t="shared" si="15"/>
        <v>17.109995885622929</v>
      </c>
    </row>
    <row r="24" spans="1:35" x14ac:dyDescent="0.3">
      <c r="A24" s="2" t="s">
        <v>0</v>
      </c>
      <c r="B24" s="3" t="s">
        <v>1</v>
      </c>
    </row>
    <row r="25" spans="1:35" x14ac:dyDescent="0.3">
      <c r="A25" s="1" t="s">
        <v>15</v>
      </c>
      <c r="B25">
        <v>2</v>
      </c>
    </row>
    <row r="26" spans="1:35" x14ac:dyDescent="0.3">
      <c r="A26" s="1" t="s">
        <v>16</v>
      </c>
      <c r="B26">
        <v>2</v>
      </c>
    </row>
    <row r="27" spans="1:35" x14ac:dyDescent="0.3">
      <c r="A27" s="1" t="s">
        <v>2</v>
      </c>
      <c r="B27">
        <v>10</v>
      </c>
    </row>
    <row r="28" spans="1:35" x14ac:dyDescent="0.3">
      <c r="A28" s="1" t="s">
        <v>3</v>
      </c>
      <c r="B28">
        <v>8</v>
      </c>
    </row>
    <row r="29" spans="1:35" x14ac:dyDescent="0.3">
      <c r="A29" s="1" t="s">
        <v>4</v>
      </c>
      <c r="B29">
        <v>6</v>
      </c>
    </row>
    <row r="30" spans="1:35" x14ac:dyDescent="0.3">
      <c r="A30" s="1" t="s">
        <v>5</v>
      </c>
      <c r="B30">
        <v>6</v>
      </c>
    </row>
    <row r="31" spans="1:35" x14ac:dyDescent="0.3">
      <c r="A31" s="1" t="s">
        <v>6</v>
      </c>
      <c r="B31">
        <v>6</v>
      </c>
    </row>
    <row r="32" spans="1:35" x14ac:dyDescent="0.3">
      <c r="A32" s="1" t="s">
        <v>7</v>
      </c>
      <c r="B32">
        <v>6</v>
      </c>
    </row>
    <row r="33" spans="1:2" x14ac:dyDescent="0.3">
      <c r="A33" s="1" t="s">
        <v>8</v>
      </c>
      <c r="B33">
        <v>2</v>
      </c>
    </row>
    <row r="34" spans="1:2" x14ac:dyDescent="0.3">
      <c r="A34" s="1" t="s">
        <v>9</v>
      </c>
      <c r="B34">
        <v>2</v>
      </c>
    </row>
    <row r="35" spans="1:2" x14ac:dyDescent="0.3">
      <c r="A35" s="1" t="s">
        <v>11</v>
      </c>
      <c r="B35">
        <v>2</v>
      </c>
    </row>
    <row r="36" spans="1:2" x14ac:dyDescent="0.3">
      <c r="A36" s="1" t="s">
        <v>12</v>
      </c>
      <c r="B36">
        <v>2</v>
      </c>
    </row>
    <row r="37" spans="1:2" x14ac:dyDescent="0.3">
      <c r="A37" s="1" t="s">
        <v>13</v>
      </c>
      <c r="B37">
        <v>2</v>
      </c>
    </row>
    <row r="38" spans="1:2" x14ac:dyDescent="0.3">
      <c r="A38" s="1" t="s">
        <v>14</v>
      </c>
      <c r="B38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E988-BE6A-49BA-BB3E-6AE475AC5E4B}">
  <dimension ref="A1:CQ79"/>
  <sheetViews>
    <sheetView workbookViewId="0">
      <selection activeCell="H77" sqref="H77"/>
    </sheetView>
  </sheetViews>
  <sheetFormatPr defaultRowHeight="14.4" x14ac:dyDescent="0.3"/>
  <cols>
    <col min="1" max="1" width="16.44140625" customWidth="1"/>
    <col min="2" max="2" width="12.33203125" customWidth="1"/>
    <col min="3" max="15" width="5.77734375" customWidth="1"/>
    <col min="17" max="17" width="12.5546875" customWidth="1"/>
    <col min="18" max="18" width="8.77734375" customWidth="1"/>
    <col min="19" max="32" width="5.77734375" customWidth="1"/>
    <col min="33" max="33" width="10.21875" customWidth="1"/>
    <col min="34" max="34" width="18.88671875" customWidth="1"/>
    <col min="35" max="35" width="6.5546875" customWidth="1"/>
    <col min="36" max="36" width="15.88671875" customWidth="1"/>
    <col min="37" max="47" width="6.5546875" customWidth="1"/>
    <col min="50" max="50" width="7.33203125" customWidth="1"/>
    <col min="51" max="63" width="5.21875" customWidth="1"/>
    <col min="66" max="79" width="5.33203125" customWidth="1"/>
    <col min="82" max="95" width="5.5546875" customWidth="1"/>
  </cols>
  <sheetData>
    <row r="1" spans="1:95" x14ac:dyDescent="0.3">
      <c r="A1" t="s">
        <v>35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/>
      <c r="I1" s="3"/>
      <c r="J1" s="3"/>
      <c r="K1" s="3"/>
      <c r="L1" s="3"/>
      <c r="M1" s="3"/>
      <c r="N1" s="3"/>
      <c r="O1" s="3"/>
      <c r="R1" t="s">
        <v>38</v>
      </c>
      <c r="S1" s="3">
        <v>1</v>
      </c>
      <c r="T1" s="3">
        <v>2</v>
      </c>
      <c r="U1" s="3">
        <v>3</v>
      </c>
      <c r="V1" s="3">
        <v>4</v>
      </c>
      <c r="W1" s="3">
        <v>5</v>
      </c>
      <c r="X1" s="3">
        <v>6</v>
      </c>
      <c r="Y1" s="3">
        <v>7</v>
      </c>
      <c r="Z1" s="3">
        <v>8</v>
      </c>
      <c r="AA1" s="3">
        <v>9</v>
      </c>
      <c r="AB1" s="3">
        <v>10</v>
      </c>
      <c r="AC1" s="3">
        <v>11</v>
      </c>
      <c r="AD1" s="3">
        <v>12</v>
      </c>
      <c r="AE1" s="3">
        <v>13</v>
      </c>
      <c r="AF1" s="3">
        <v>14</v>
      </c>
      <c r="AH1" s="3" t="s">
        <v>39</v>
      </c>
      <c r="AI1" s="3"/>
      <c r="AJ1" s="6" t="s">
        <v>40</v>
      </c>
      <c r="AK1" s="3">
        <v>1</v>
      </c>
      <c r="AL1" s="3">
        <v>2</v>
      </c>
      <c r="AM1" s="3">
        <v>3</v>
      </c>
      <c r="AN1" s="3">
        <v>4</v>
      </c>
      <c r="AO1" s="3">
        <v>5</v>
      </c>
      <c r="AP1" s="3">
        <v>6</v>
      </c>
      <c r="AQ1" s="3">
        <v>7</v>
      </c>
      <c r="AR1" s="3">
        <v>8</v>
      </c>
      <c r="AS1" s="3">
        <v>9</v>
      </c>
      <c r="AT1" s="3">
        <v>10</v>
      </c>
      <c r="AU1" s="3">
        <v>11</v>
      </c>
      <c r="AV1" s="3">
        <v>12</v>
      </c>
      <c r="AW1" s="3">
        <v>13</v>
      </c>
      <c r="AX1" s="3">
        <v>14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</row>
    <row r="2" spans="1:95" x14ac:dyDescent="0.3">
      <c r="A2" s="3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Q2" s="3"/>
      <c r="R2" s="3">
        <v>1</v>
      </c>
      <c r="S2">
        <v>7.4160019999999993E-2</v>
      </c>
      <c r="T2">
        <v>9.2598130000000001E-2</v>
      </c>
      <c r="U2">
        <v>0.12405869999999999</v>
      </c>
      <c r="V2">
        <v>0.14473515000000001</v>
      </c>
      <c r="W2">
        <v>0.11648538</v>
      </c>
      <c r="X2">
        <v>0.10297971</v>
      </c>
      <c r="Y2">
        <v>8.8116050000000001E-2</v>
      </c>
      <c r="Z2">
        <v>9.7027520000000006E-2</v>
      </c>
      <c r="AA2">
        <v>0.13352464</v>
      </c>
      <c r="AB2">
        <v>0.10361515</v>
      </c>
      <c r="AC2">
        <v>0.12489001</v>
      </c>
      <c r="AD2">
        <v>0.12802852000000001</v>
      </c>
      <c r="AE2">
        <v>8.9586260000000001E-2</v>
      </c>
      <c r="AF2">
        <v>0.14233759000000001</v>
      </c>
      <c r="AG2" s="3"/>
      <c r="AH2">
        <f>1/(ABS(MAX(S2:AF15)- MIN(S2:AF15)))</f>
        <v>12.382982364528006</v>
      </c>
      <c r="AJ2" s="3">
        <v>1</v>
      </c>
      <c r="AK2">
        <f>(S2-MIN($S$2:$AF$15))*$AH$2</f>
        <v>0</v>
      </c>
      <c r="AL2">
        <f t="shared" ref="AL2:AX15" si="0">(T2-MIN($S$2:$AF$15))*$AH$2</f>
        <v>0.22831879096522756</v>
      </c>
      <c r="AM2">
        <f t="shared" si="0"/>
        <v>0.61789447445322632</v>
      </c>
      <c r="AN2">
        <f t="shared" si="0"/>
        <v>0.87393059016427155</v>
      </c>
      <c r="AO2">
        <f t="shared" si="0"/>
        <v>0.52411418645229912</v>
      </c>
      <c r="AP2">
        <f t="shared" si="0"/>
        <v>0.35687371302116422</v>
      </c>
      <c r="AQ2">
        <f t="shared" si="0"/>
        <v>0.17281727336882388</v>
      </c>
      <c r="AR2">
        <f t="shared" si="0"/>
        <v>0.28316784922084431</v>
      </c>
      <c r="AS2">
        <f t="shared" si="0"/>
        <v>0.73511104253690662</v>
      </c>
      <c r="AT2">
        <f t="shared" si="0"/>
        <v>0.36474235533487992</v>
      </c>
      <c r="AU2">
        <f t="shared" si="0"/>
        <v>0.62818857152268215</v>
      </c>
      <c r="AV2">
        <f t="shared" si="0"/>
        <v>0.6670526855035771</v>
      </c>
      <c r="AW2">
        <f t="shared" si="0"/>
        <v>0.19102285787097661</v>
      </c>
      <c r="AX2">
        <f t="shared" si="0"/>
        <v>0.84424164696637394</v>
      </c>
      <c r="BM2" s="3"/>
      <c r="CC2" s="3"/>
    </row>
    <row r="3" spans="1:95" x14ac:dyDescent="0.3">
      <c r="A3" s="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Q3" s="3"/>
      <c r="R3" s="3">
        <v>2</v>
      </c>
      <c r="S3">
        <v>7.8076989999999999E-2</v>
      </c>
      <c r="T3">
        <v>9.8786189999999996E-2</v>
      </c>
      <c r="U3">
        <v>0.13201458999999999</v>
      </c>
      <c r="V3">
        <v>0.14248611999999999</v>
      </c>
      <c r="W3">
        <v>0.12242322</v>
      </c>
      <c r="X3">
        <v>0.10951932</v>
      </c>
      <c r="Y3">
        <v>9.2860609999999996E-2</v>
      </c>
      <c r="Z3">
        <v>0.10250599000000001</v>
      </c>
      <c r="AA3">
        <v>0.13229869</v>
      </c>
      <c r="AB3">
        <v>0.10752027</v>
      </c>
      <c r="AC3">
        <v>0.1247573</v>
      </c>
      <c r="AD3">
        <v>0.10907351999999999</v>
      </c>
      <c r="AE3">
        <v>9.5365759999999994E-2</v>
      </c>
      <c r="AF3">
        <v>0.13193995</v>
      </c>
      <c r="AG3" s="3"/>
      <c r="AJ3" s="3">
        <v>2</v>
      </c>
      <c r="AK3">
        <f t="shared" ref="AK3:AK15" si="1">(S3-MIN($S$2:$AF$15))*$AH$2</f>
        <v>4.8503770432385337E-2</v>
      </c>
      <c r="AL3">
        <f t="shared" si="0"/>
        <v>0.30494542881586867</v>
      </c>
      <c r="AM3">
        <f t="shared" si="0"/>
        <v>0.716412120017351</v>
      </c>
      <c r="AN3">
        <f t="shared" si="0"/>
        <v>0.84608089133697706</v>
      </c>
      <c r="AO3">
        <f t="shared" si="0"/>
        <v>0.59764235445568814</v>
      </c>
      <c r="AP3">
        <f t="shared" si="0"/>
        <v>0.43785358832205523</v>
      </c>
      <c r="AQ3">
        <f t="shared" si="0"/>
        <v>0.23156907617626882</v>
      </c>
      <c r="AR3">
        <f t="shared" si="0"/>
        <v>0.35100764661544009</v>
      </c>
      <c r="AS3">
        <f t="shared" si="0"/>
        <v>0.71993012530711353</v>
      </c>
      <c r="AT3">
        <f t="shared" si="0"/>
        <v>0.41309938742624552</v>
      </c>
      <c r="AU3">
        <f t="shared" si="0"/>
        <v>0.6265452259330857</v>
      </c>
      <c r="AV3">
        <f t="shared" si="0"/>
        <v>0.43233325478394852</v>
      </c>
      <c r="AW3">
        <f t="shared" si="0"/>
        <v>0.26259030444676612</v>
      </c>
      <c r="AX3">
        <f t="shared" si="0"/>
        <v>0.71548785421366279</v>
      </c>
      <c r="BM3" s="3"/>
      <c r="CC3" s="3"/>
    </row>
    <row r="4" spans="1:95" x14ac:dyDescent="0.3">
      <c r="A4" s="3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Q4" s="3"/>
      <c r="R4" s="3">
        <v>3</v>
      </c>
      <c r="S4">
        <v>0.12133586</v>
      </c>
      <c r="T4">
        <v>0.12853928000000001</v>
      </c>
      <c r="U4">
        <v>0.11088468999999999</v>
      </c>
      <c r="V4">
        <v>0.10786102</v>
      </c>
      <c r="W4">
        <v>0.10631925</v>
      </c>
      <c r="X4">
        <v>0.10559871</v>
      </c>
      <c r="Y4">
        <v>0.10089101</v>
      </c>
      <c r="Z4">
        <v>0.11237995000000001</v>
      </c>
      <c r="AA4">
        <v>0.11120555</v>
      </c>
      <c r="AB4">
        <v>0.11421892</v>
      </c>
      <c r="AC4">
        <v>0.11353481</v>
      </c>
      <c r="AD4">
        <v>9.0873759999999998E-2</v>
      </c>
      <c r="AE4">
        <v>0.10541913999999999</v>
      </c>
      <c r="AF4">
        <v>0.10722277</v>
      </c>
      <c r="AG4" s="3"/>
      <c r="AJ4" s="3">
        <v>3</v>
      </c>
      <c r="AK4">
        <f t="shared" si="1"/>
        <v>0.58417759475179498</v>
      </c>
      <c r="AL4">
        <f t="shared" si="0"/>
        <v>0.67337741757608338</v>
      </c>
      <c r="AM4">
        <f t="shared" si="0"/>
        <v>0.45476094095311076</v>
      </c>
      <c r="AN4">
        <f t="shared" si="0"/>
        <v>0.41731888866695843</v>
      </c>
      <c r="AO4">
        <f t="shared" si="0"/>
        <v>0.39822717794680013</v>
      </c>
      <c r="AP4">
        <f t="shared" si="0"/>
        <v>0.38930474383386304</v>
      </c>
      <c r="AQ4">
        <f t="shared" si="0"/>
        <v>0.33100937775637462</v>
      </c>
      <c r="AR4">
        <f t="shared" si="0"/>
        <v>0.47327671916349506</v>
      </c>
      <c r="AS4">
        <f t="shared" si="0"/>
        <v>0.45873414467459328</v>
      </c>
      <c r="AT4">
        <f t="shared" si="0"/>
        <v>0.49604865224239103</v>
      </c>
      <c r="AU4">
        <f t="shared" si="0"/>
        <v>0.48757733017699378</v>
      </c>
      <c r="AV4">
        <f t="shared" si="0"/>
        <v>0.20696594766530638</v>
      </c>
      <c r="AW4">
        <f t="shared" si="0"/>
        <v>0.38708113169066471</v>
      </c>
      <c r="AX4">
        <f t="shared" si="0"/>
        <v>0.40941545017279835</v>
      </c>
      <c r="BM4" s="3"/>
      <c r="CC4" s="3"/>
    </row>
    <row r="5" spans="1:95" x14ac:dyDescent="0.3">
      <c r="A5" s="3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Q5" s="3"/>
      <c r="R5" s="3">
        <v>4</v>
      </c>
      <c r="S5">
        <v>0.13520966000000001</v>
      </c>
      <c r="T5">
        <v>0.12181029</v>
      </c>
      <c r="U5">
        <v>0.10372938</v>
      </c>
      <c r="V5">
        <v>0.10305625</v>
      </c>
      <c r="W5">
        <v>0.10099420000000001</v>
      </c>
      <c r="X5">
        <v>0.10288750000000001</v>
      </c>
      <c r="Y5">
        <v>9.5189880000000004E-2</v>
      </c>
      <c r="Z5">
        <v>0.10270824000000001</v>
      </c>
      <c r="AA5">
        <v>0.10686714</v>
      </c>
      <c r="AB5">
        <v>0.10548978000000001</v>
      </c>
      <c r="AC5">
        <v>0.10290235</v>
      </c>
      <c r="AD5">
        <v>9.6630770000000005E-2</v>
      </c>
      <c r="AE5">
        <v>9.8637719999999998E-2</v>
      </c>
      <c r="AF5">
        <v>0.10381998000000001</v>
      </c>
      <c r="AG5" s="3"/>
      <c r="AJ5" s="3">
        <v>4</v>
      </c>
      <c r="AK5">
        <f t="shared" si="1"/>
        <v>0.75597661548078376</v>
      </c>
      <c r="AL5">
        <f t="shared" si="0"/>
        <v>0.59005245307499798</v>
      </c>
      <c r="AM5">
        <f t="shared" si="0"/>
        <v>0.3661568634103799</v>
      </c>
      <c r="AN5">
        <f t="shared" si="0"/>
        <v>0.3578215064913452</v>
      </c>
      <c r="AO5">
        <f t="shared" si="0"/>
        <v>0.33228717770657029</v>
      </c>
      <c r="AP5">
        <f t="shared" si="0"/>
        <v>0.35573187821733115</v>
      </c>
      <c r="AQ5">
        <f t="shared" si="0"/>
        <v>0.26041238550849305</v>
      </c>
      <c r="AR5">
        <f t="shared" si="0"/>
        <v>0.3535121047986659</v>
      </c>
      <c r="AS5">
        <f t="shared" si="0"/>
        <v>0.40501169015450134</v>
      </c>
      <c r="AT5">
        <f t="shared" si="0"/>
        <v>0.38795586556489509</v>
      </c>
      <c r="AU5">
        <f t="shared" si="0"/>
        <v>0.35591576550544435</v>
      </c>
      <c r="AV5">
        <f t="shared" si="0"/>
        <v>0.27825490096771782</v>
      </c>
      <c r="AW5">
        <f t="shared" si="0"/>
        <v>0.30310692742420725</v>
      </c>
      <c r="AX5">
        <f t="shared" si="0"/>
        <v>0.36727876161260625</v>
      </c>
      <c r="BM5" s="3"/>
      <c r="CC5" s="3"/>
    </row>
    <row r="6" spans="1:95" x14ac:dyDescent="0.3">
      <c r="A6" s="3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Q6" s="3"/>
      <c r="R6" s="3">
        <v>5</v>
      </c>
      <c r="S6">
        <v>0.12572214000000001</v>
      </c>
      <c r="T6">
        <v>0.13082054000000001</v>
      </c>
      <c r="U6">
        <v>0.11558876999999999</v>
      </c>
      <c r="V6">
        <v>0.10158107</v>
      </c>
      <c r="W6">
        <v>0.10216386</v>
      </c>
      <c r="X6">
        <v>9.7650580000000001E-2</v>
      </c>
      <c r="Y6">
        <v>8.8988709999999999E-2</v>
      </c>
      <c r="Z6">
        <v>0.10158107</v>
      </c>
      <c r="AA6">
        <v>0.1015485</v>
      </c>
      <c r="AB6">
        <v>0.10580491</v>
      </c>
      <c r="AC6">
        <v>0.11206023</v>
      </c>
      <c r="AD6">
        <v>8.7416129999999995E-2</v>
      </c>
      <c r="AE6">
        <v>9.9589280000000002E-2</v>
      </c>
      <c r="AF6">
        <v>0.10230269</v>
      </c>
      <c r="AG6" s="3"/>
      <c r="AJ6" s="3">
        <v>5</v>
      </c>
      <c r="AK6">
        <f t="shared" si="1"/>
        <v>0.63849282263767704</v>
      </c>
      <c r="AL6">
        <f t="shared" si="0"/>
        <v>0.70162621992498664</v>
      </c>
      <c r="AM6">
        <f t="shared" si="0"/>
        <v>0.51301148063443969</v>
      </c>
      <c r="AN6">
        <f t="shared" si="0"/>
        <v>0.33955437856684073</v>
      </c>
      <c r="AO6">
        <f t="shared" si="0"/>
        <v>0.34677105685906401</v>
      </c>
      <c r="AP6">
        <f t="shared" si="0"/>
        <v>0.29088319021288711</v>
      </c>
      <c r="AQ6">
        <f t="shared" si="0"/>
        <v>0.18362340675905287</v>
      </c>
      <c r="AR6">
        <f t="shared" si="0"/>
        <v>0.33955437856684073</v>
      </c>
      <c r="AS6">
        <f t="shared" si="0"/>
        <v>0.33915106483122809</v>
      </c>
      <c r="AT6">
        <f t="shared" si="0"/>
        <v>0.39185811479742877</v>
      </c>
      <c r="AU6">
        <f t="shared" si="0"/>
        <v>0.46931763204190802</v>
      </c>
      <c r="AV6">
        <f t="shared" si="0"/>
        <v>0.16415017635224335</v>
      </c>
      <c r="AW6">
        <f t="shared" si="0"/>
        <v>0.31489007812299757</v>
      </c>
      <c r="AX6">
        <f t="shared" si="0"/>
        <v>0.34849018630073147</v>
      </c>
      <c r="BM6" s="3"/>
      <c r="CC6" s="3"/>
    </row>
    <row r="7" spans="1:95" x14ac:dyDescent="0.3">
      <c r="A7" s="3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Q7" s="3"/>
      <c r="R7" s="3">
        <v>6</v>
      </c>
      <c r="S7">
        <v>0.11253409</v>
      </c>
      <c r="T7">
        <v>0.11178821</v>
      </c>
      <c r="U7">
        <v>0.10413527</v>
      </c>
      <c r="V7">
        <v>0.10162522</v>
      </c>
      <c r="W7">
        <v>0.11017672000000001</v>
      </c>
      <c r="X7">
        <v>0.10124292999999999</v>
      </c>
      <c r="Y7">
        <v>8.7479699999999994E-2</v>
      </c>
      <c r="Z7">
        <v>9.8785369999999997E-2</v>
      </c>
      <c r="AA7">
        <v>0.10583684</v>
      </c>
      <c r="AB7">
        <v>0.10017587999999999</v>
      </c>
      <c r="AC7">
        <v>0.10607436000000001</v>
      </c>
      <c r="AD7">
        <v>8.8778480000000007E-2</v>
      </c>
      <c r="AE7">
        <v>0.10055937</v>
      </c>
      <c r="AF7">
        <v>0.11029456999999999</v>
      </c>
      <c r="AG7" s="3"/>
      <c r="AJ7" s="3">
        <v>6</v>
      </c>
      <c r="AK7">
        <f t="shared" si="1"/>
        <v>0.47518543206516334</v>
      </c>
      <c r="AL7">
        <f t="shared" si="0"/>
        <v>0.46594921317910915</v>
      </c>
      <c r="AM7">
        <f t="shared" si="0"/>
        <v>0.3711829921223182</v>
      </c>
      <c r="AN7">
        <f t="shared" si="0"/>
        <v>0.34010108723823473</v>
      </c>
      <c r="AO7">
        <f t="shared" si="0"/>
        <v>0.44599416092849598</v>
      </c>
      <c r="AP7">
        <f t="shared" si="0"/>
        <v>0.3353671969100992</v>
      </c>
      <c r="AQ7">
        <f t="shared" si="0"/>
        <v>0.1649373625411564</v>
      </c>
      <c r="AR7">
        <f t="shared" si="0"/>
        <v>0.30493527477032978</v>
      </c>
      <c r="AS7">
        <f t="shared" si="0"/>
        <v>0.39225350342432813</v>
      </c>
      <c r="AT7">
        <f t="shared" si="0"/>
        <v>0.32215393557802957</v>
      </c>
      <c r="AU7">
        <f t="shared" si="0"/>
        <v>0.3951947093955509</v>
      </c>
      <c r="AV7">
        <f t="shared" si="0"/>
        <v>0.18102013237655826</v>
      </c>
      <c r="AW7">
        <f t="shared" si="0"/>
        <v>0.32690268548500245</v>
      </c>
      <c r="AX7">
        <f t="shared" si="0"/>
        <v>0.4474534954001555</v>
      </c>
      <c r="BM7" s="3"/>
      <c r="CC7" s="3"/>
    </row>
    <row r="8" spans="1:95" x14ac:dyDescent="0.3">
      <c r="A8" s="3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Q8" s="3"/>
      <c r="R8" s="3">
        <v>7</v>
      </c>
      <c r="S8">
        <v>0.15491600999999999</v>
      </c>
      <c r="T8">
        <v>0.12396751</v>
      </c>
      <c r="U8">
        <v>0.10478223</v>
      </c>
      <c r="V8">
        <v>0.10099420000000001</v>
      </c>
      <c r="W8">
        <v>0.10818203</v>
      </c>
      <c r="X8">
        <v>0.10315696000000001</v>
      </c>
      <c r="Y8">
        <v>9.4070559999999998E-2</v>
      </c>
      <c r="Z8">
        <v>0.10348541999999999</v>
      </c>
      <c r="AA8">
        <v>0.10537970000000001</v>
      </c>
      <c r="AB8">
        <v>0.10334917</v>
      </c>
      <c r="AC8">
        <v>0.1039384</v>
      </c>
      <c r="AD8">
        <v>9.3301419999999996E-2</v>
      </c>
      <c r="AE8">
        <v>0.10842708</v>
      </c>
      <c r="AF8">
        <v>0.10574724000000001</v>
      </c>
      <c r="AG8" s="3"/>
      <c r="AJ8" s="3">
        <v>7</v>
      </c>
      <c r="AK8">
        <f t="shared" si="1"/>
        <v>1</v>
      </c>
      <c r="AL8">
        <f t="shared" si="0"/>
        <v>0.61676527029140515</v>
      </c>
      <c r="AM8">
        <f t="shared" si="0"/>
        <v>0.37919428639287328</v>
      </c>
      <c r="AN8">
        <f t="shared" si="0"/>
        <v>0.33228717770657029</v>
      </c>
      <c r="AO8">
        <f t="shared" si="0"/>
        <v>0.42129394983579554</v>
      </c>
      <c r="AP8">
        <f t="shared" si="0"/>
        <v>0.35906859664527691</v>
      </c>
      <c r="AQ8">
        <f t="shared" si="0"/>
        <v>0.24655186568822951</v>
      </c>
      <c r="AR8">
        <f t="shared" si="0"/>
        <v>0.36313591103272963</v>
      </c>
      <c r="AS8">
        <f t="shared" si="0"/>
        <v>0.38659274686620787</v>
      </c>
      <c r="AT8">
        <f t="shared" si="0"/>
        <v>0.3614487296855628</v>
      </c>
      <c r="AU8">
        <f t="shared" si="0"/>
        <v>0.36874515438421357</v>
      </c>
      <c r="AV8">
        <f t="shared" si="0"/>
        <v>0.23702761863237642</v>
      </c>
      <c r="AW8">
        <f t="shared" si="0"/>
        <v>0.42432839966422309</v>
      </c>
      <c r="AX8">
        <f t="shared" si="0"/>
        <v>0.3911439882044665</v>
      </c>
      <c r="BM8" s="3"/>
      <c r="CC8" s="3"/>
    </row>
    <row r="9" spans="1:95" x14ac:dyDescent="0.3">
      <c r="A9" s="3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Q9" s="3"/>
      <c r="R9" s="3">
        <v>8</v>
      </c>
      <c r="S9">
        <v>0.11388334</v>
      </c>
      <c r="T9">
        <v>0.12038976</v>
      </c>
      <c r="U9">
        <v>0.10458290000000001</v>
      </c>
      <c r="V9">
        <v>0.10158107</v>
      </c>
      <c r="W9">
        <v>0.10379264000000001</v>
      </c>
      <c r="X9">
        <v>9.7227910000000001E-2</v>
      </c>
      <c r="Y9">
        <v>8.9989719999999995E-2</v>
      </c>
      <c r="Z9">
        <v>0.10246327</v>
      </c>
      <c r="AA9">
        <v>0.10241517</v>
      </c>
      <c r="AB9">
        <v>0.10644128</v>
      </c>
      <c r="AC9">
        <v>0.10060882</v>
      </c>
      <c r="AD9">
        <v>8.7351880000000007E-2</v>
      </c>
      <c r="AE9">
        <v>0.10555776</v>
      </c>
      <c r="AF9">
        <v>9.8402110000000001E-2</v>
      </c>
      <c r="AG9" s="3"/>
      <c r="AJ9" s="3">
        <v>8</v>
      </c>
      <c r="AK9">
        <f t="shared" si="1"/>
        <v>0.49189317102050273</v>
      </c>
      <c r="AL9">
        <f t="shared" si="0"/>
        <v>0.572462055136715</v>
      </c>
      <c r="AM9">
        <f t="shared" si="0"/>
        <v>0.37672598651815198</v>
      </c>
      <c r="AN9">
        <f t="shared" si="0"/>
        <v>0.33955437856684073</v>
      </c>
      <c r="AO9">
        <f t="shared" si="0"/>
        <v>0.36694021087476003</v>
      </c>
      <c r="AP9">
        <f t="shared" si="0"/>
        <v>0.28564927505687204</v>
      </c>
      <c r="AQ9">
        <f t="shared" si="0"/>
        <v>0.19601889593576902</v>
      </c>
      <c r="AR9">
        <f t="shared" si="0"/>
        <v>0.3504786456088273</v>
      </c>
      <c r="AS9">
        <f t="shared" si="0"/>
        <v>0.3498830241570936</v>
      </c>
      <c r="AT9">
        <f t="shared" si="0"/>
        <v>0.39973827328474343</v>
      </c>
      <c r="AU9">
        <f t="shared" si="0"/>
        <v>0.32751502396292842</v>
      </c>
      <c r="AV9">
        <f t="shared" si="0"/>
        <v>0.16335456973532259</v>
      </c>
      <c r="AW9">
        <f t="shared" si="0"/>
        <v>0.38879766070603566</v>
      </c>
      <c r="AX9">
        <f t="shared" si="0"/>
        <v>0.30018937294930081</v>
      </c>
      <c r="BM9" s="3"/>
      <c r="CC9" s="3"/>
    </row>
    <row r="10" spans="1:95" x14ac:dyDescent="0.3">
      <c r="A10" s="3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Q10" s="3"/>
      <c r="R10" s="3">
        <v>9</v>
      </c>
      <c r="S10">
        <v>0.11822549</v>
      </c>
      <c r="T10">
        <v>0.11094017</v>
      </c>
      <c r="U10">
        <v>9.9984160000000002E-2</v>
      </c>
      <c r="V10">
        <v>9.9865490000000001E-2</v>
      </c>
      <c r="W10">
        <v>9.8565379999999994E-2</v>
      </c>
      <c r="X10">
        <v>9.7917619999999997E-2</v>
      </c>
      <c r="Y10">
        <v>9.0133450000000004E-2</v>
      </c>
      <c r="Z10">
        <v>9.3761780000000003E-2</v>
      </c>
      <c r="AA10">
        <v>9.5817459999999993E-2</v>
      </c>
      <c r="AB10">
        <v>9.5817459999999993E-2</v>
      </c>
      <c r="AC10">
        <v>9.9204819999999999E-2</v>
      </c>
      <c r="AD10">
        <v>9.5701599999999998E-2</v>
      </c>
      <c r="AE10">
        <v>9.6915539999999994E-2</v>
      </c>
      <c r="AF10">
        <v>9.9577540000000006E-2</v>
      </c>
      <c r="AG10" s="3"/>
      <c r="AJ10" s="3">
        <v>9</v>
      </c>
      <c r="AK10">
        <f t="shared" si="1"/>
        <v>0.54566193789463802</v>
      </c>
      <c r="AL10">
        <f t="shared" si="0"/>
        <v>0.45544794881469491</v>
      </c>
      <c r="AM10">
        <f t="shared" si="0"/>
        <v>0.31977987019910237</v>
      </c>
      <c r="AN10">
        <f t="shared" si="0"/>
        <v>0.31831038168190384</v>
      </c>
      <c r="AO10">
        <f t="shared" si="0"/>
        <v>0.30221114247995723</v>
      </c>
      <c r="AP10">
        <f t="shared" si="0"/>
        <v>0.2941899418235106</v>
      </c>
      <c r="AQ10">
        <f t="shared" si="0"/>
        <v>0.19779870199102273</v>
      </c>
      <c r="AR10">
        <f t="shared" si="0"/>
        <v>0.2427282483937106</v>
      </c>
      <c r="AS10">
        <f t="shared" si="0"/>
        <v>0.26818369758082344</v>
      </c>
      <c r="AT10">
        <f t="shared" si="0"/>
        <v>0.26818369758082344</v>
      </c>
      <c r="AU10">
        <f t="shared" si="0"/>
        <v>0.3101293167231311</v>
      </c>
      <c r="AV10">
        <f t="shared" si="0"/>
        <v>0.26674900524406925</v>
      </c>
      <c r="AW10">
        <f t="shared" si="0"/>
        <v>0.28178120285566433</v>
      </c>
      <c r="AX10">
        <f t="shared" si="0"/>
        <v>0.31474470191003806</v>
      </c>
      <c r="BM10" s="3"/>
      <c r="CC10" s="3"/>
    </row>
    <row r="11" spans="1:95" x14ac:dyDescent="0.3">
      <c r="A11" s="3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Q11" s="3"/>
      <c r="R11" s="3">
        <v>10</v>
      </c>
      <c r="S11">
        <v>0.10706897999999999</v>
      </c>
      <c r="T11">
        <v>0.11018664</v>
      </c>
      <c r="U11">
        <v>9.8504720000000004E-2</v>
      </c>
      <c r="V11">
        <v>9.3998219999999993E-2</v>
      </c>
      <c r="W11">
        <v>9.5694580000000001E-2</v>
      </c>
      <c r="X11">
        <v>9.4645199999999999E-2</v>
      </c>
      <c r="Y11">
        <v>8.8114120000000004E-2</v>
      </c>
      <c r="Z11">
        <v>9.9493509999999993E-2</v>
      </c>
      <c r="AA11">
        <v>9.5285220000000004E-2</v>
      </c>
      <c r="AB11">
        <v>9.5875730000000006E-2</v>
      </c>
      <c r="AC11">
        <v>9.8117449999999995E-2</v>
      </c>
      <c r="AD11">
        <v>9.0170059999999996E-2</v>
      </c>
      <c r="AE11">
        <v>0.10105786</v>
      </c>
      <c r="AF11">
        <v>9.7351380000000001E-2</v>
      </c>
      <c r="AG11" s="3"/>
      <c r="AJ11" s="3">
        <v>10</v>
      </c>
      <c r="AK11">
        <f t="shared" si="1"/>
        <v>0.40751107131495756</v>
      </c>
      <c r="AL11">
        <f t="shared" si="0"/>
        <v>0.4461170001135521</v>
      </c>
      <c r="AM11">
        <f t="shared" si="0"/>
        <v>0.30145999076972507</v>
      </c>
      <c r="AN11">
        <f t="shared" si="0"/>
        <v>0.24565608074397949</v>
      </c>
      <c r="AO11">
        <f t="shared" si="0"/>
        <v>0.26666207670787034</v>
      </c>
      <c r="AP11">
        <f t="shared" si="0"/>
        <v>0.25366762267418191</v>
      </c>
      <c r="AQ11">
        <f t="shared" si="0"/>
        <v>0.1727933742128604</v>
      </c>
      <c r="AR11">
        <f t="shared" si="0"/>
        <v>0.31370415990194661</v>
      </c>
      <c r="AS11">
        <f t="shared" si="0"/>
        <v>0.26159297904712719</v>
      </c>
      <c r="AT11">
        <f t="shared" si="0"/>
        <v>0.26890525396320464</v>
      </c>
      <c r="AU11">
        <f t="shared" si="0"/>
        <v>0.29666443318941421</v>
      </c>
      <c r="AV11">
        <f t="shared" si="0"/>
        <v>0.19825204297538801</v>
      </c>
      <c r="AW11">
        <f t="shared" si="0"/>
        <v>0.33307547836389606</v>
      </c>
      <c r="AX11">
        <f t="shared" si="0"/>
        <v>0.28717820188942034</v>
      </c>
      <c r="BM11" s="3"/>
      <c r="CC11" s="3"/>
    </row>
    <row r="12" spans="1:95" x14ac:dyDescent="0.3">
      <c r="A12" s="3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Q12" s="3"/>
      <c r="R12" s="3">
        <v>11</v>
      </c>
      <c r="S12">
        <v>0.14103736</v>
      </c>
      <c r="T12">
        <v>0.1247573</v>
      </c>
      <c r="U12">
        <v>0.10805885</v>
      </c>
      <c r="V12">
        <v>0.10463639</v>
      </c>
      <c r="W12">
        <v>0.10408228999999999</v>
      </c>
      <c r="X12">
        <v>0.10339165</v>
      </c>
      <c r="Y12">
        <v>0.10198834</v>
      </c>
      <c r="Z12">
        <v>0.11638641</v>
      </c>
      <c r="AA12">
        <v>0.10900161999999999</v>
      </c>
      <c r="AB12">
        <v>0.11681985</v>
      </c>
      <c r="AC12">
        <v>0.11786401000000001</v>
      </c>
      <c r="AD12">
        <v>8.7830539999999999E-2</v>
      </c>
      <c r="AE12">
        <v>0.1091414</v>
      </c>
      <c r="AF12">
        <v>0.10045297</v>
      </c>
      <c r="AG12" s="3"/>
      <c r="AJ12" s="3">
        <v>11</v>
      </c>
      <c r="AK12">
        <f t="shared" si="1"/>
        <v>0.82814092180654353</v>
      </c>
      <c r="AL12">
        <f t="shared" si="0"/>
        <v>0.6265452259330857</v>
      </c>
      <c r="AM12">
        <f t="shared" si="0"/>
        <v>0.41976861406813298</v>
      </c>
      <c r="AN12">
        <f t="shared" si="0"/>
        <v>0.37738835224483042</v>
      </c>
      <c r="AO12">
        <f t="shared" si="0"/>
        <v>0.37052694171664541</v>
      </c>
      <c r="AP12">
        <f t="shared" si="0"/>
        <v>0.36197475877640789</v>
      </c>
      <c r="AQ12">
        <f t="shared" si="0"/>
        <v>0.34459759579444205</v>
      </c>
      <c r="AR12">
        <f t="shared" si="0"/>
        <v>0.52288864268768176</v>
      </c>
      <c r="AS12">
        <f t="shared" si="0"/>
        <v>0.43144291835193899</v>
      </c>
      <c r="AT12">
        <f t="shared" si="0"/>
        <v>0.52825592256376286</v>
      </c>
      <c r="AU12">
        <f t="shared" si="0"/>
        <v>0.54118573742950848</v>
      </c>
      <c r="AV12">
        <f t="shared" si="0"/>
        <v>0.16928180807392745</v>
      </c>
      <c r="AW12">
        <f t="shared" si="0"/>
        <v>0.43317381162685276</v>
      </c>
      <c r="AX12">
        <f t="shared" si="0"/>
        <v>0.32558513616141677</v>
      </c>
      <c r="BM12" s="3"/>
      <c r="CC12" s="3"/>
    </row>
    <row r="13" spans="1:95" x14ac:dyDescent="0.3">
      <c r="A13" s="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Q13" s="3"/>
      <c r="R13" s="3">
        <v>12</v>
      </c>
      <c r="S13">
        <v>0.14222803000000001</v>
      </c>
      <c r="T13">
        <v>0.13912206999999999</v>
      </c>
      <c r="U13">
        <v>0.10576519</v>
      </c>
      <c r="V13">
        <v>0.104675</v>
      </c>
      <c r="W13">
        <v>0.10959135</v>
      </c>
      <c r="X13">
        <v>0.10760726</v>
      </c>
      <c r="Y13">
        <v>9.2693730000000002E-2</v>
      </c>
      <c r="Z13">
        <v>0.11100562</v>
      </c>
      <c r="AA13">
        <v>0.10833690999999999</v>
      </c>
      <c r="AB13">
        <v>0.11152995</v>
      </c>
      <c r="AC13">
        <v>0.10105553</v>
      </c>
      <c r="AD13">
        <v>9.9451860000000003E-2</v>
      </c>
      <c r="AE13">
        <v>9.4765160000000001E-2</v>
      </c>
      <c r="AF13">
        <v>0.11879209</v>
      </c>
      <c r="AG13" s="3"/>
      <c r="AJ13" s="3">
        <v>12</v>
      </c>
      <c r="AK13">
        <f t="shared" si="1"/>
        <v>0.84288496741851615</v>
      </c>
      <c r="AL13">
        <f t="shared" si="0"/>
        <v>0.80442391951358649</v>
      </c>
      <c r="AM13">
        <f t="shared" si="0"/>
        <v>0.39136626273790964</v>
      </c>
      <c r="AN13">
        <f t="shared" si="0"/>
        <v>0.37786645919392498</v>
      </c>
      <c r="AO13">
        <f t="shared" si="0"/>
        <v>0.43874553454177223</v>
      </c>
      <c r="AP13">
        <f t="shared" si="0"/>
        <v>0.41417658306213573</v>
      </c>
      <c r="AQ13">
        <f t="shared" si="0"/>
        <v>0.22950260407927647</v>
      </c>
      <c r="AR13">
        <f t="shared" si="0"/>
        <v>0.45625841501045317</v>
      </c>
      <c r="AS13">
        <f t="shared" si="0"/>
        <v>0.42321182614441361</v>
      </c>
      <c r="AT13">
        <f t="shared" si="0"/>
        <v>0.46275118415364619</v>
      </c>
      <c r="AU13">
        <f t="shared" si="0"/>
        <v>0.3330466260149868</v>
      </c>
      <c r="AV13">
        <f t="shared" si="0"/>
        <v>0.31318840868646414</v>
      </c>
      <c r="AW13">
        <f t="shared" si="0"/>
        <v>0.25515308523863067</v>
      </c>
      <c r="AX13">
        <f t="shared" si="0"/>
        <v>0.55267813570237956</v>
      </c>
      <c r="BM13" s="3"/>
      <c r="CC13" s="3"/>
    </row>
    <row r="14" spans="1:95" x14ac:dyDescent="0.3">
      <c r="A14" s="3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Q14" s="3"/>
      <c r="R14" s="3">
        <v>13</v>
      </c>
      <c r="S14">
        <v>0.14332175</v>
      </c>
      <c r="T14">
        <v>0.13184375000000001</v>
      </c>
      <c r="U14">
        <v>0.11057408000000001</v>
      </c>
      <c r="V14">
        <v>0.10060882</v>
      </c>
      <c r="W14">
        <v>0.10644177</v>
      </c>
      <c r="X14">
        <v>9.8767309999999997E-2</v>
      </c>
      <c r="Y14">
        <v>8.780665E-2</v>
      </c>
      <c r="Z14">
        <v>0.10550497</v>
      </c>
      <c r="AA14">
        <v>0.10618374999999999</v>
      </c>
      <c r="AB14">
        <v>0.107183</v>
      </c>
      <c r="AC14">
        <v>0.11786401000000001</v>
      </c>
      <c r="AD14">
        <v>8.3039840000000004E-2</v>
      </c>
      <c r="AE14">
        <v>0.1091414</v>
      </c>
      <c r="AF14">
        <v>9.4713980000000003E-2</v>
      </c>
      <c r="AG14" s="3"/>
      <c r="AJ14" s="3">
        <v>13</v>
      </c>
      <c r="AK14">
        <f t="shared" si="1"/>
        <v>0.85642848289024764</v>
      </c>
      <c r="AL14">
        <f t="shared" si="0"/>
        <v>0.71429661131019528</v>
      </c>
      <c r="AM14">
        <f t="shared" si="0"/>
        <v>0.45091466280086484</v>
      </c>
      <c r="AN14">
        <f t="shared" si="0"/>
        <v>0.32751502396292842</v>
      </c>
      <c r="AO14">
        <f t="shared" si="0"/>
        <v>0.39974434094610212</v>
      </c>
      <c r="AP14">
        <f t="shared" si="0"/>
        <v>0.3047116381088264</v>
      </c>
      <c r="AQ14">
        <f t="shared" si="0"/>
        <v>0.1689859786252389</v>
      </c>
      <c r="AR14">
        <f t="shared" si="0"/>
        <v>0.38814396306701227</v>
      </c>
      <c r="AS14">
        <f t="shared" si="0"/>
        <v>0.39654928383640647</v>
      </c>
      <c r="AT14">
        <f t="shared" si="0"/>
        <v>0.40892297896416113</v>
      </c>
      <c r="AU14">
        <f t="shared" si="0"/>
        <v>0.54118573742950848</v>
      </c>
      <c r="AV14">
        <f t="shared" si="0"/>
        <v>0.10995865446018321</v>
      </c>
      <c r="AW14">
        <f t="shared" si="0"/>
        <v>0.43317381162685276</v>
      </c>
      <c r="AX14">
        <f t="shared" si="0"/>
        <v>0.2545193242012142</v>
      </c>
      <c r="BM14" s="3"/>
      <c r="CC14" s="3"/>
    </row>
    <row r="15" spans="1:95" x14ac:dyDescent="0.3">
      <c r="A15" s="3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Q15" s="3"/>
      <c r="R15" s="3">
        <v>14</v>
      </c>
      <c r="S15">
        <v>9.8222840000000006E-2</v>
      </c>
      <c r="T15">
        <v>0.10387154</v>
      </c>
      <c r="U15">
        <v>0.10510534000000001</v>
      </c>
      <c r="V15">
        <v>0.11204498</v>
      </c>
      <c r="W15">
        <v>0.1041205</v>
      </c>
      <c r="X15">
        <v>0.10119862</v>
      </c>
      <c r="Y15">
        <v>8.8190080000000004E-2</v>
      </c>
      <c r="Z15">
        <v>0.11070729999999999</v>
      </c>
      <c r="AA15">
        <v>0.11041049</v>
      </c>
      <c r="AB15">
        <v>0.11236959000000001</v>
      </c>
      <c r="AC15">
        <v>0.10045297</v>
      </c>
      <c r="AD15">
        <v>9.5007389999999997E-2</v>
      </c>
      <c r="AE15">
        <v>9.4322340000000005E-2</v>
      </c>
      <c r="AF15">
        <v>0.12582087</v>
      </c>
      <c r="AG15" s="3"/>
      <c r="AJ15" s="3">
        <v>14</v>
      </c>
      <c r="AK15">
        <f t="shared" si="1"/>
        <v>0.29796947570081195</v>
      </c>
      <c r="AL15">
        <f t="shared" si="0"/>
        <v>0.36791722818332123</v>
      </c>
      <c r="AM15">
        <f t="shared" si="0"/>
        <v>0.38319535182467596</v>
      </c>
      <c r="AN15">
        <f t="shared" si="0"/>
        <v>0.46912879156084902</v>
      </c>
      <c r="AO15">
        <f t="shared" si="0"/>
        <v>0.37100009547279417</v>
      </c>
      <c r="AP15">
        <f t="shared" si="0"/>
        <v>0.3348185069615271</v>
      </c>
      <c r="AQ15">
        <f t="shared" si="0"/>
        <v>0.17373398555326994</v>
      </c>
      <c r="AR15">
        <f t="shared" si="0"/>
        <v>0.45256432371146715</v>
      </c>
      <c r="AS15">
        <f t="shared" si="0"/>
        <v>0.44888893071585162</v>
      </c>
      <c r="AT15">
        <f t="shared" si="0"/>
        <v>0.4731484314661985</v>
      </c>
      <c r="AU15">
        <f t="shared" si="0"/>
        <v>0.32558513616141677</v>
      </c>
      <c r="AV15">
        <f t="shared" si="0"/>
        <v>0.25815261505679027</v>
      </c>
      <c r="AW15">
        <f t="shared" si="0"/>
        <v>0.24966965298797045</v>
      </c>
      <c r="AX15">
        <f t="shared" si="0"/>
        <v>0.6397153944865267</v>
      </c>
      <c r="BM15" s="3"/>
      <c r="CC15" s="3"/>
    </row>
    <row r="17" spans="1:32" x14ac:dyDescent="0.3">
      <c r="A17" t="s">
        <v>34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</row>
    <row r="18" spans="1:32" x14ac:dyDescent="0.3">
      <c r="A18" s="3">
        <v>1</v>
      </c>
      <c r="B18">
        <f t="array" ref="B18:O31">MMULT(B2:G15,TRANSPOSE(B2:G15))</f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  <c r="M18">
        <v>6</v>
      </c>
      <c r="N18">
        <v>6</v>
      </c>
      <c r="O18">
        <v>6</v>
      </c>
    </row>
    <row r="19" spans="1:32" x14ac:dyDescent="0.3">
      <c r="A19" s="3">
        <v>2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R19" t="s">
        <v>41</v>
      </c>
      <c r="S19" s="3">
        <v>1</v>
      </c>
      <c r="T19" s="3">
        <v>2</v>
      </c>
      <c r="U19" s="3">
        <v>3</v>
      </c>
      <c r="V19" s="3">
        <v>4</v>
      </c>
      <c r="W19" s="3">
        <v>5</v>
      </c>
      <c r="X19" s="3">
        <v>6</v>
      </c>
      <c r="Y19" s="3">
        <v>7</v>
      </c>
      <c r="Z19" s="3">
        <v>8</v>
      </c>
      <c r="AA19" s="3">
        <v>9</v>
      </c>
      <c r="AB19" s="3">
        <v>10</v>
      </c>
      <c r="AC19" s="3">
        <v>11</v>
      </c>
      <c r="AD19" s="3">
        <v>12</v>
      </c>
      <c r="AE19" s="3">
        <v>13</v>
      </c>
      <c r="AF19" s="3">
        <v>14</v>
      </c>
    </row>
    <row r="20" spans="1:32" x14ac:dyDescent="0.3">
      <c r="A20" s="3">
        <v>3</v>
      </c>
      <c r="B20">
        <v>6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R20" s="3">
        <v>1</v>
      </c>
      <c r="S20">
        <v>0</v>
      </c>
      <c r="T20">
        <v>0.3590238</v>
      </c>
      <c r="U20">
        <v>0.64710350000000005</v>
      </c>
      <c r="V20">
        <v>0.21151049999999999</v>
      </c>
      <c r="W20">
        <v>0.16872809999999999</v>
      </c>
      <c r="X20">
        <v>0.52622979999999997</v>
      </c>
      <c r="Y20">
        <v>0.57334220000000002</v>
      </c>
      <c r="Z20">
        <v>0.37142395</v>
      </c>
      <c r="AA20">
        <v>0.23986299999999999</v>
      </c>
      <c r="AB20">
        <v>0.54196140000000004</v>
      </c>
      <c r="AC20">
        <v>0.36221759999999997</v>
      </c>
      <c r="AD20">
        <v>0.43616808000000001</v>
      </c>
      <c r="AE20">
        <v>0.27122429999999997</v>
      </c>
      <c r="AF20">
        <v>0.66671689999999995</v>
      </c>
    </row>
    <row r="21" spans="1:32" x14ac:dyDescent="0.3">
      <c r="A21" s="3">
        <v>4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R21" s="3">
        <v>2</v>
      </c>
      <c r="S21">
        <v>0.3590238</v>
      </c>
      <c r="T21">
        <v>0</v>
      </c>
      <c r="U21">
        <v>0.672794</v>
      </c>
      <c r="V21">
        <v>0.20751330000000001</v>
      </c>
      <c r="W21">
        <v>0.52362900000000001</v>
      </c>
      <c r="X21">
        <v>0.2006472</v>
      </c>
      <c r="Y21">
        <v>0.51883919999999994</v>
      </c>
      <c r="Z21">
        <v>0.54759986000000005</v>
      </c>
      <c r="AA21">
        <v>0.4322202</v>
      </c>
      <c r="AB21">
        <v>0.45788129999999999</v>
      </c>
      <c r="AC21">
        <v>0.55457480000000003</v>
      </c>
      <c r="AD21">
        <v>0.61558022999999995</v>
      </c>
      <c r="AE21">
        <v>0.44779950000000002</v>
      </c>
      <c r="AF21">
        <v>0.60758789999999996</v>
      </c>
    </row>
    <row r="22" spans="1:32" x14ac:dyDescent="0.3">
      <c r="A22" s="3">
        <v>5</v>
      </c>
      <c r="B22">
        <v>6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6</v>
      </c>
      <c r="O22">
        <v>6</v>
      </c>
      <c r="R22" s="3">
        <v>3</v>
      </c>
      <c r="S22">
        <v>0.64710350000000005</v>
      </c>
      <c r="T22">
        <v>0.672794</v>
      </c>
      <c r="U22">
        <v>0</v>
      </c>
      <c r="V22">
        <v>0.52528070000000004</v>
      </c>
      <c r="W22">
        <v>0.64916490000000004</v>
      </c>
      <c r="X22">
        <v>0.67333330000000002</v>
      </c>
      <c r="Y22">
        <v>0.74042799999999998</v>
      </c>
      <c r="Z22">
        <v>0.68519410000000003</v>
      </c>
      <c r="AA22">
        <v>0.63390709999999995</v>
      </c>
      <c r="AB22">
        <v>0.79122619999999999</v>
      </c>
      <c r="AC22">
        <v>0.51155249999999997</v>
      </c>
      <c r="AD22">
        <v>0.68388039</v>
      </c>
      <c r="AE22">
        <v>0.75166109999999997</v>
      </c>
      <c r="AF22">
        <v>0.92754950000000003</v>
      </c>
    </row>
    <row r="23" spans="1:32" x14ac:dyDescent="0.3">
      <c r="A23" s="3">
        <v>6</v>
      </c>
      <c r="B23">
        <v>6</v>
      </c>
      <c r="C23">
        <v>6</v>
      </c>
      <c r="D23">
        <v>6</v>
      </c>
      <c r="E23">
        <v>6</v>
      </c>
      <c r="F23">
        <v>6</v>
      </c>
      <c r="G23">
        <v>6</v>
      </c>
      <c r="H23">
        <v>6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  <c r="O23">
        <v>6</v>
      </c>
      <c r="R23" s="3">
        <v>4</v>
      </c>
      <c r="S23">
        <v>0.21151049999999999</v>
      </c>
      <c r="T23">
        <v>0.20751330000000001</v>
      </c>
      <c r="U23">
        <v>0.52528070000000004</v>
      </c>
      <c r="V23">
        <v>0</v>
      </c>
      <c r="W23">
        <v>0.3761158</v>
      </c>
      <c r="X23">
        <v>0.37471929999999998</v>
      </c>
      <c r="Y23">
        <v>0.61818609999999996</v>
      </c>
      <c r="Z23">
        <v>0.34332284000000002</v>
      </c>
      <c r="AA23">
        <v>0.28470689999999998</v>
      </c>
      <c r="AB23">
        <v>0.57386029999999999</v>
      </c>
      <c r="AC23">
        <v>0.34706150000000002</v>
      </c>
      <c r="AD23">
        <v>0.40806696999999997</v>
      </c>
      <c r="AE23">
        <v>0.24028620000000001</v>
      </c>
      <c r="AF23">
        <v>0.63861579999999996</v>
      </c>
    </row>
    <row r="24" spans="1:32" x14ac:dyDescent="0.3">
      <c r="A24" s="3">
        <v>7</v>
      </c>
      <c r="B24">
        <v>6</v>
      </c>
      <c r="C24">
        <v>6</v>
      </c>
      <c r="D24">
        <v>6</v>
      </c>
      <c r="E24">
        <v>6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R24" s="3">
        <v>5</v>
      </c>
      <c r="S24">
        <v>0.16872809999999999</v>
      </c>
      <c r="T24">
        <v>0.52362900000000001</v>
      </c>
      <c r="U24">
        <v>0.64916490000000004</v>
      </c>
      <c r="V24">
        <v>0.3761158</v>
      </c>
      <c r="W24">
        <v>0</v>
      </c>
      <c r="X24">
        <v>0.35750169999999998</v>
      </c>
      <c r="Y24">
        <v>0.40873700000000002</v>
      </c>
      <c r="Z24">
        <v>0.20573997999999999</v>
      </c>
      <c r="AA24">
        <v>0.40859109999999998</v>
      </c>
      <c r="AB24">
        <v>0.37627739999999998</v>
      </c>
      <c r="AC24">
        <v>0.53094580000000002</v>
      </c>
      <c r="AD24">
        <v>0.27048411</v>
      </c>
      <c r="AE24">
        <v>0.43582949999999998</v>
      </c>
      <c r="AF24">
        <v>0.5010329</v>
      </c>
    </row>
    <row r="25" spans="1:32" x14ac:dyDescent="0.3">
      <c r="A25" s="3">
        <v>8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R25" s="3">
        <v>6</v>
      </c>
      <c r="S25">
        <v>0.52622979999999997</v>
      </c>
      <c r="T25">
        <v>0.2006472</v>
      </c>
      <c r="U25">
        <v>0.67333330000000002</v>
      </c>
      <c r="V25">
        <v>0.37471929999999998</v>
      </c>
      <c r="W25">
        <v>0.35750169999999998</v>
      </c>
      <c r="X25">
        <v>0</v>
      </c>
      <c r="Y25">
        <v>0.31948650000000001</v>
      </c>
      <c r="Z25">
        <v>0.38147257000000001</v>
      </c>
      <c r="AA25">
        <v>0.59942620000000002</v>
      </c>
      <c r="AB25">
        <v>0.25852849999999999</v>
      </c>
      <c r="AC25">
        <v>0.7217808</v>
      </c>
      <c r="AD25">
        <v>0.44945294000000002</v>
      </c>
      <c r="AE25">
        <v>0.61500549999999998</v>
      </c>
      <c r="AF25">
        <v>0.40694059999999999</v>
      </c>
    </row>
    <row r="26" spans="1:32" x14ac:dyDescent="0.3">
      <c r="A26" s="3">
        <v>9</v>
      </c>
      <c r="B26">
        <v>6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R26" s="3">
        <v>7</v>
      </c>
      <c r="S26">
        <v>0.57334220000000002</v>
      </c>
      <c r="T26">
        <v>0.51883919999999994</v>
      </c>
      <c r="U26">
        <v>0.74042799999999998</v>
      </c>
      <c r="V26">
        <v>0.61818609999999996</v>
      </c>
      <c r="W26">
        <v>0.40873700000000002</v>
      </c>
      <c r="X26">
        <v>0.31948650000000001</v>
      </c>
      <c r="Y26">
        <v>0</v>
      </c>
      <c r="Z26">
        <v>0.44476615000000003</v>
      </c>
      <c r="AA26">
        <v>0.4086999</v>
      </c>
      <c r="AB26">
        <v>0.26095790000000002</v>
      </c>
      <c r="AC26">
        <v>0.50844929999999999</v>
      </c>
      <c r="AD26">
        <v>0.45167162</v>
      </c>
      <c r="AE26">
        <v>0.51123320000000005</v>
      </c>
      <c r="AF26">
        <v>0.42454579999999997</v>
      </c>
    </row>
    <row r="27" spans="1:32" x14ac:dyDescent="0.3">
      <c r="A27" s="3">
        <v>10</v>
      </c>
      <c r="B27">
        <v>6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R27" s="3">
        <v>8</v>
      </c>
      <c r="S27">
        <v>0.37142389999999997</v>
      </c>
      <c r="T27">
        <v>0.54759990000000003</v>
      </c>
      <c r="U27">
        <v>0.68519410000000003</v>
      </c>
      <c r="V27">
        <v>0.34332279999999998</v>
      </c>
      <c r="W27">
        <v>0.20574000000000001</v>
      </c>
      <c r="X27">
        <v>0.3814726</v>
      </c>
      <c r="Y27">
        <v>0.4447661</v>
      </c>
      <c r="Z27">
        <v>0</v>
      </c>
      <c r="AA27">
        <v>0.44462030000000002</v>
      </c>
      <c r="AB27">
        <v>0.23053750000000001</v>
      </c>
      <c r="AC27">
        <v>0.50697490000000001</v>
      </c>
      <c r="AD27">
        <v>6.7980380000000007E-2</v>
      </c>
      <c r="AE27">
        <v>0.41490280000000002</v>
      </c>
      <c r="AF27">
        <v>0.29529300000000003</v>
      </c>
    </row>
    <row r="28" spans="1:32" x14ac:dyDescent="0.3">
      <c r="A28" s="3">
        <v>11</v>
      </c>
      <c r="B28">
        <v>6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R28" s="3">
        <v>9</v>
      </c>
      <c r="S28">
        <v>0.23986299999999999</v>
      </c>
      <c r="T28">
        <v>0.4322202</v>
      </c>
      <c r="U28">
        <v>0.63390709999999995</v>
      </c>
      <c r="V28">
        <v>0.28470689999999998</v>
      </c>
      <c r="W28">
        <v>0.40859109999999998</v>
      </c>
      <c r="X28">
        <v>0.59942620000000002</v>
      </c>
      <c r="Y28">
        <v>0.4086999</v>
      </c>
      <c r="Z28">
        <v>0.44462030000000002</v>
      </c>
      <c r="AA28">
        <v>0</v>
      </c>
      <c r="AB28">
        <v>0.55065240000000004</v>
      </c>
      <c r="AC28">
        <v>0.2504825</v>
      </c>
      <c r="AD28">
        <v>0.44330659</v>
      </c>
      <c r="AE28">
        <v>0.177754</v>
      </c>
      <c r="AF28">
        <v>0.68697569999999997</v>
      </c>
    </row>
    <row r="29" spans="1:32" x14ac:dyDescent="0.3">
      <c r="A29" s="3">
        <v>12</v>
      </c>
      <c r="B29">
        <v>6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R29" s="3">
        <v>10</v>
      </c>
      <c r="S29">
        <v>0.54196140000000004</v>
      </c>
      <c r="T29">
        <v>0.45788129999999999</v>
      </c>
      <c r="U29">
        <v>0.79122619999999999</v>
      </c>
      <c r="V29">
        <v>0.57386029999999999</v>
      </c>
      <c r="W29">
        <v>0.37627739999999998</v>
      </c>
      <c r="X29">
        <v>0.25852849999999999</v>
      </c>
      <c r="Y29">
        <v>0.26095790000000002</v>
      </c>
      <c r="Z29">
        <v>0.23053745</v>
      </c>
      <c r="AA29">
        <v>0.55065240000000004</v>
      </c>
      <c r="AB29">
        <v>0</v>
      </c>
      <c r="AC29">
        <v>0.71924750000000004</v>
      </c>
      <c r="AD29">
        <v>0.24067917</v>
      </c>
      <c r="AE29">
        <v>0.64544029999999997</v>
      </c>
      <c r="AF29">
        <v>0.16358790000000001</v>
      </c>
    </row>
    <row r="30" spans="1:32" x14ac:dyDescent="0.3">
      <c r="A30" s="3">
        <v>13</v>
      </c>
      <c r="B30">
        <v>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R30" s="3">
        <v>11</v>
      </c>
      <c r="S30">
        <v>0.36221759999999997</v>
      </c>
      <c r="T30">
        <v>0.55457480000000003</v>
      </c>
      <c r="U30">
        <v>0.51155249999999997</v>
      </c>
      <c r="V30">
        <v>0.34706150000000002</v>
      </c>
      <c r="W30">
        <v>0.53094580000000002</v>
      </c>
      <c r="X30">
        <v>0.7217808</v>
      </c>
      <c r="Y30">
        <v>0.50844929999999999</v>
      </c>
      <c r="Z30">
        <v>0.50697492</v>
      </c>
      <c r="AA30">
        <v>0.2504825</v>
      </c>
      <c r="AB30">
        <v>0.71924750000000004</v>
      </c>
      <c r="AC30">
        <v>0</v>
      </c>
      <c r="AD30">
        <v>0.55345420999999995</v>
      </c>
      <c r="AE30">
        <v>0.24010860000000001</v>
      </c>
      <c r="AF30">
        <v>0.78400300000000001</v>
      </c>
    </row>
    <row r="31" spans="1:32" x14ac:dyDescent="0.3">
      <c r="A31" s="3">
        <v>14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R31" s="3">
        <v>12</v>
      </c>
      <c r="S31">
        <v>0.4361681</v>
      </c>
      <c r="T31">
        <v>0.61558020000000002</v>
      </c>
      <c r="U31">
        <v>0.68388040000000005</v>
      </c>
      <c r="V31">
        <v>0.40806700000000001</v>
      </c>
      <c r="W31">
        <v>0.27048410000000001</v>
      </c>
      <c r="X31">
        <v>0.44945289999999999</v>
      </c>
      <c r="Y31">
        <v>0.45167160000000001</v>
      </c>
      <c r="Z31">
        <v>6.7980380000000007E-2</v>
      </c>
      <c r="AA31">
        <v>0.4433066</v>
      </c>
      <c r="AB31">
        <v>0.24067920000000001</v>
      </c>
      <c r="AC31">
        <v>0.55345420000000001</v>
      </c>
      <c r="AD31">
        <v>0</v>
      </c>
      <c r="AE31">
        <v>0.41298030000000002</v>
      </c>
      <c r="AF31">
        <v>0.2436691</v>
      </c>
    </row>
    <row r="32" spans="1:32" x14ac:dyDescent="0.3">
      <c r="R32" s="3">
        <v>13</v>
      </c>
      <c r="S32">
        <v>0.27122429999999997</v>
      </c>
      <c r="T32">
        <v>0.44779950000000002</v>
      </c>
      <c r="U32">
        <v>0.75166109999999997</v>
      </c>
      <c r="V32">
        <v>0.24028620000000001</v>
      </c>
      <c r="W32">
        <v>0.43582949999999998</v>
      </c>
      <c r="X32">
        <v>0.61500549999999998</v>
      </c>
      <c r="Y32">
        <v>0.51123320000000005</v>
      </c>
      <c r="Z32">
        <v>0.41490283999999999</v>
      </c>
      <c r="AA32">
        <v>0.177754</v>
      </c>
      <c r="AB32">
        <v>0.64544029999999997</v>
      </c>
      <c r="AC32">
        <v>0.24010860000000001</v>
      </c>
      <c r="AD32">
        <v>0.41298030000000002</v>
      </c>
      <c r="AE32">
        <v>0</v>
      </c>
      <c r="AF32">
        <v>0.57686249999999994</v>
      </c>
    </row>
    <row r="33" spans="1:32" x14ac:dyDescent="0.3">
      <c r="A33" t="s">
        <v>36</v>
      </c>
      <c r="B33" s="3">
        <v>1</v>
      </c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  <c r="L33" s="3">
        <v>11</v>
      </c>
      <c r="M33" s="3">
        <v>12</v>
      </c>
      <c r="N33" s="3">
        <v>13</v>
      </c>
      <c r="O33" s="3">
        <v>14</v>
      </c>
      <c r="R33" s="3">
        <v>14</v>
      </c>
      <c r="S33">
        <v>0.66671689999999995</v>
      </c>
      <c r="T33">
        <v>0.60758789999999996</v>
      </c>
      <c r="U33">
        <v>0.92754950000000003</v>
      </c>
      <c r="V33">
        <v>0.63861579999999996</v>
      </c>
      <c r="W33">
        <v>0.5010329</v>
      </c>
      <c r="X33">
        <v>0.40694059999999999</v>
      </c>
      <c r="Y33">
        <v>0.42454579999999997</v>
      </c>
      <c r="Z33">
        <v>0.29529295999999999</v>
      </c>
      <c r="AA33">
        <v>0.68697569999999997</v>
      </c>
      <c r="AB33">
        <v>0.16358790000000001</v>
      </c>
      <c r="AC33">
        <v>0.78400300000000001</v>
      </c>
      <c r="AD33">
        <v>0.24366908000000001</v>
      </c>
      <c r="AE33">
        <v>0.57686249999999994</v>
      </c>
      <c r="AF33">
        <v>0</v>
      </c>
    </row>
    <row r="34" spans="1:32" x14ac:dyDescent="0.3">
      <c r="A34" s="3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32" x14ac:dyDescent="0.3">
      <c r="A35" s="3">
        <v>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32" x14ac:dyDescent="0.3">
      <c r="A36" s="3">
        <v>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32" x14ac:dyDescent="0.3">
      <c r="A37" s="3">
        <v>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32" x14ac:dyDescent="0.3">
      <c r="A38" s="3">
        <v>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32" x14ac:dyDescent="0.3">
      <c r="A39" s="3">
        <v>6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32" x14ac:dyDescent="0.3">
      <c r="A40" s="3">
        <v>7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32" x14ac:dyDescent="0.3">
      <c r="A41" s="3">
        <v>8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32" x14ac:dyDescent="0.3">
      <c r="A42" s="3">
        <v>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32" x14ac:dyDescent="0.3">
      <c r="A43" s="3">
        <v>10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32" x14ac:dyDescent="0.3">
      <c r="A44" s="3">
        <v>11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32" x14ac:dyDescent="0.3">
      <c r="A45" s="3">
        <v>12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32" x14ac:dyDescent="0.3">
      <c r="A46" s="3">
        <v>13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32" x14ac:dyDescent="0.3">
      <c r="A47" s="3">
        <v>14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9" spans="1:15" x14ac:dyDescent="0.3">
      <c r="A49" t="s">
        <v>37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N49" s="3">
        <v>13</v>
      </c>
      <c r="O49" s="3">
        <v>14</v>
      </c>
    </row>
    <row r="50" spans="1:15" x14ac:dyDescent="0.3">
      <c r="A50" s="3">
        <v>1</v>
      </c>
      <c r="B50">
        <f>B34+B18</f>
        <v>7</v>
      </c>
      <c r="C50">
        <f t="shared" ref="C50:O50" si="2">C34+C18</f>
        <v>7</v>
      </c>
      <c r="D50">
        <f t="shared" si="2"/>
        <v>7</v>
      </c>
      <c r="E50">
        <f t="shared" si="2"/>
        <v>7</v>
      </c>
      <c r="F50">
        <f t="shared" si="2"/>
        <v>7</v>
      </c>
      <c r="G50">
        <f t="shared" si="2"/>
        <v>7</v>
      </c>
      <c r="H50">
        <f t="shared" si="2"/>
        <v>7</v>
      </c>
      <c r="I50">
        <f t="shared" si="2"/>
        <v>7</v>
      </c>
      <c r="J50">
        <f t="shared" si="2"/>
        <v>7</v>
      </c>
      <c r="K50">
        <f t="shared" si="2"/>
        <v>7</v>
      </c>
      <c r="L50">
        <f t="shared" si="2"/>
        <v>7</v>
      </c>
      <c r="M50">
        <f t="shared" si="2"/>
        <v>7</v>
      </c>
      <c r="N50">
        <f t="shared" si="2"/>
        <v>7</v>
      </c>
      <c r="O50">
        <f t="shared" si="2"/>
        <v>7</v>
      </c>
    </row>
    <row r="51" spans="1:15" x14ac:dyDescent="0.3">
      <c r="A51" s="3">
        <v>2</v>
      </c>
      <c r="B51">
        <f t="shared" ref="B51:O63" si="3">B35+B19</f>
        <v>7</v>
      </c>
      <c r="C51">
        <f t="shared" si="3"/>
        <v>7</v>
      </c>
      <c r="D51">
        <f t="shared" si="3"/>
        <v>7</v>
      </c>
      <c r="E51">
        <f t="shared" si="3"/>
        <v>7</v>
      </c>
      <c r="F51">
        <f t="shared" si="3"/>
        <v>7</v>
      </c>
      <c r="G51">
        <f t="shared" si="3"/>
        <v>7</v>
      </c>
      <c r="H51">
        <f t="shared" si="3"/>
        <v>7</v>
      </c>
      <c r="I51">
        <f t="shared" si="3"/>
        <v>7</v>
      </c>
      <c r="J51">
        <f t="shared" si="3"/>
        <v>7</v>
      </c>
      <c r="K51">
        <f t="shared" si="3"/>
        <v>7</v>
      </c>
      <c r="L51">
        <f t="shared" si="3"/>
        <v>7</v>
      </c>
      <c r="M51">
        <f t="shared" si="3"/>
        <v>7</v>
      </c>
      <c r="N51">
        <f t="shared" si="3"/>
        <v>7</v>
      </c>
      <c r="O51">
        <f t="shared" si="3"/>
        <v>7</v>
      </c>
    </row>
    <row r="52" spans="1:15" x14ac:dyDescent="0.3">
      <c r="A52" s="3">
        <v>3</v>
      </c>
      <c r="B52">
        <f t="shared" si="3"/>
        <v>7</v>
      </c>
      <c r="C52">
        <f t="shared" si="3"/>
        <v>7</v>
      </c>
      <c r="D52">
        <f t="shared" si="3"/>
        <v>7</v>
      </c>
      <c r="E52">
        <f t="shared" si="3"/>
        <v>7</v>
      </c>
      <c r="F52">
        <f t="shared" si="3"/>
        <v>7</v>
      </c>
      <c r="G52">
        <f t="shared" si="3"/>
        <v>7</v>
      </c>
      <c r="H52">
        <f t="shared" si="3"/>
        <v>7</v>
      </c>
      <c r="I52">
        <f t="shared" si="3"/>
        <v>7</v>
      </c>
      <c r="J52">
        <f t="shared" si="3"/>
        <v>7</v>
      </c>
      <c r="K52">
        <f t="shared" si="3"/>
        <v>7</v>
      </c>
      <c r="L52">
        <f t="shared" si="3"/>
        <v>7</v>
      </c>
      <c r="M52">
        <f t="shared" si="3"/>
        <v>7</v>
      </c>
      <c r="N52">
        <f t="shared" si="3"/>
        <v>7</v>
      </c>
      <c r="O52">
        <f t="shared" si="3"/>
        <v>7</v>
      </c>
    </row>
    <row r="53" spans="1:15" x14ac:dyDescent="0.3">
      <c r="A53" s="3">
        <v>4</v>
      </c>
      <c r="B53">
        <f t="shared" si="3"/>
        <v>7</v>
      </c>
      <c r="C53">
        <f t="shared" si="3"/>
        <v>7</v>
      </c>
      <c r="D53">
        <f t="shared" si="3"/>
        <v>7</v>
      </c>
      <c r="E53">
        <f t="shared" si="3"/>
        <v>7</v>
      </c>
      <c r="F53">
        <f t="shared" si="3"/>
        <v>7</v>
      </c>
      <c r="G53">
        <f t="shared" si="3"/>
        <v>7</v>
      </c>
      <c r="H53">
        <f t="shared" si="3"/>
        <v>7</v>
      </c>
      <c r="I53">
        <f t="shared" si="3"/>
        <v>7</v>
      </c>
      <c r="J53">
        <f t="shared" si="3"/>
        <v>7</v>
      </c>
      <c r="K53">
        <f t="shared" si="3"/>
        <v>7</v>
      </c>
      <c r="L53">
        <f t="shared" si="3"/>
        <v>7</v>
      </c>
      <c r="M53">
        <f t="shared" si="3"/>
        <v>7</v>
      </c>
      <c r="N53">
        <f t="shared" si="3"/>
        <v>7</v>
      </c>
      <c r="O53">
        <f t="shared" si="3"/>
        <v>7</v>
      </c>
    </row>
    <row r="54" spans="1:15" x14ac:dyDescent="0.3">
      <c r="A54" s="3">
        <v>5</v>
      </c>
      <c r="B54">
        <f t="shared" si="3"/>
        <v>7</v>
      </c>
      <c r="C54">
        <f t="shared" si="3"/>
        <v>7</v>
      </c>
      <c r="D54">
        <f t="shared" si="3"/>
        <v>7</v>
      </c>
      <c r="E54">
        <f t="shared" si="3"/>
        <v>7</v>
      </c>
      <c r="F54">
        <f t="shared" si="3"/>
        <v>7</v>
      </c>
      <c r="G54">
        <f t="shared" si="3"/>
        <v>7</v>
      </c>
      <c r="H54">
        <f t="shared" si="3"/>
        <v>7</v>
      </c>
      <c r="I54">
        <f t="shared" si="3"/>
        <v>7</v>
      </c>
      <c r="J54">
        <f t="shared" si="3"/>
        <v>7</v>
      </c>
      <c r="K54">
        <f t="shared" si="3"/>
        <v>7</v>
      </c>
      <c r="L54">
        <f t="shared" si="3"/>
        <v>7</v>
      </c>
      <c r="M54">
        <f t="shared" si="3"/>
        <v>7</v>
      </c>
      <c r="N54">
        <f t="shared" si="3"/>
        <v>7</v>
      </c>
      <c r="O54">
        <f t="shared" si="3"/>
        <v>7</v>
      </c>
    </row>
    <row r="55" spans="1:15" x14ac:dyDescent="0.3">
      <c r="A55" s="3">
        <v>6</v>
      </c>
      <c r="B55">
        <f t="shared" si="3"/>
        <v>7</v>
      </c>
      <c r="C55">
        <f t="shared" si="3"/>
        <v>7</v>
      </c>
      <c r="D55">
        <f t="shared" si="3"/>
        <v>7</v>
      </c>
      <c r="E55">
        <f t="shared" si="3"/>
        <v>7</v>
      </c>
      <c r="F55">
        <f t="shared" si="3"/>
        <v>7</v>
      </c>
      <c r="G55">
        <f t="shared" si="3"/>
        <v>7</v>
      </c>
      <c r="H55">
        <f t="shared" si="3"/>
        <v>7</v>
      </c>
      <c r="I55">
        <f t="shared" si="3"/>
        <v>7</v>
      </c>
      <c r="J55">
        <f t="shared" si="3"/>
        <v>7</v>
      </c>
      <c r="K55">
        <f t="shared" si="3"/>
        <v>7</v>
      </c>
      <c r="L55">
        <f t="shared" si="3"/>
        <v>7</v>
      </c>
      <c r="M55">
        <f t="shared" si="3"/>
        <v>7</v>
      </c>
      <c r="N55">
        <f t="shared" si="3"/>
        <v>7</v>
      </c>
      <c r="O55">
        <f t="shared" si="3"/>
        <v>7</v>
      </c>
    </row>
    <row r="56" spans="1:15" x14ac:dyDescent="0.3">
      <c r="A56" s="3">
        <v>7</v>
      </c>
      <c r="B56">
        <f t="shared" si="3"/>
        <v>7</v>
      </c>
      <c r="C56">
        <f t="shared" si="3"/>
        <v>7</v>
      </c>
      <c r="D56">
        <f t="shared" si="3"/>
        <v>7</v>
      </c>
      <c r="E56">
        <f t="shared" si="3"/>
        <v>7</v>
      </c>
      <c r="F56">
        <f t="shared" si="3"/>
        <v>7</v>
      </c>
      <c r="G56">
        <f t="shared" si="3"/>
        <v>7</v>
      </c>
      <c r="H56">
        <f t="shared" si="3"/>
        <v>7</v>
      </c>
      <c r="I56">
        <f t="shared" si="3"/>
        <v>7</v>
      </c>
      <c r="J56">
        <f t="shared" si="3"/>
        <v>7</v>
      </c>
      <c r="K56">
        <f t="shared" si="3"/>
        <v>7</v>
      </c>
      <c r="L56">
        <f t="shared" si="3"/>
        <v>7</v>
      </c>
      <c r="M56">
        <f t="shared" si="3"/>
        <v>7</v>
      </c>
      <c r="N56">
        <f t="shared" si="3"/>
        <v>7</v>
      </c>
      <c r="O56">
        <f t="shared" si="3"/>
        <v>7</v>
      </c>
    </row>
    <row r="57" spans="1:15" x14ac:dyDescent="0.3">
      <c r="A57" s="3">
        <v>8</v>
      </c>
      <c r="B57">
        <f t="shared" si="3"/>
        <v>7</v>
      </c>
      <c r="C57">
        <f t="shared" si="3"/>
        <v>7</v>
      </c>
      <c r="D57">
        <f t="shared" si="3"/>
        <v>7</v>
      </c>
      <c r="E57">
        <f t="shared" si="3"/>
        <v>7</v>
      </c>
      <c r="F57">
        <f t="shared" si="3"/>
        <v>7</v>
      </c>
      <c r="G57">
        <f t="shared" si="3"/>
        <v>7</v>
      </c>
      <c r="H57">
        <f t="shared" si="3"/>
        <v>7</v>
      </c>
      <c r="I57">
        <f t="shared" si="3"/>
        <v>7</v>
      </c>
      <c r="J57">
        <f t="shared" si="3"/>
        <v>7</v>
      </c>
      <c r="K57">
        <f t="shared" si="3"/>
        <v>7</v>
      </c>
      <c r="L57">
        <f t="shared" si="3"/>
        <v>7</v>
      </c>
      <c r="M57">
        <f t="shared" si="3"/>
        <v>7</v>
      </c>
      <c r="N57">
        <f t="shared" si="3"/>
        <v>7</v>
      </c>
      <c r="O57">
        <f t="shared" si="3"/>
        <v>7</v>
      </c>
    </row>
    <row r="58" spans="1:15" x14ac:dyDescent="0.3">
      <c r="A58" s="3">
        <v>9</v>
      </c>
      <c r="B58">
        <f t="shared" si="3"/>
        <v>7</v>
      </c>
      <c r="C58">
        <f t="shared" si="3"/>
        <v>7</v>
      </c>
      <c r="D58">
        <f t="shared" si="3"/>
        <v>7</v>
      </c>
      <c r="E58">
        <f t="shared" si="3"/>
        <v>7</v>
      </c>
      <c r="F58">
        <f t="shared" si="3"/>
        <v>7</v>
      </c>
      <c r="G58">
        <f t="shared" si="3"/>
        <v>7</v>
      </c>
      <c r="H58">
        <f t="shared" si="3"/>
        <v>7</v>
      </c>
      <c r="I58">
        <f t="shared" si="3"/>
        <v>7</v>
      </c>
      <c r="J58">
        <f t="shared" si="3"/>
        <v>7</v>
      </c>
      <c r="K58">
        <f t="shared" si="3"/>
        <v>7</v>
      </c>
      <c r="L58">
        <f t="shared" si="3"/>
        <v>7</v>
      </c>
      <c r="M58">
        <f t="shared" si="3"/>
        <v>7</v>
      </c>
      <c r="N58">
        <f t="shared" si="3"/>
        <v>7</v>
      </c>
      <c r="O58">
        <f t="shared" si="3"/>
        <v>7</v>
      </c>
    </row>
    <row r="59" spans="1:15" x14ac:dyDescent="0.3">
      <c r="A59" s="3">
        <v>10</v>
      </c>
      <c r="B59">
        <f t="shared" si="3"/>
        <v>7</v>
      </c>
      <c r="C59">
        <f t="shared" si="3"/>
        <v>7</v>
      </c>
      <c r="D59">
        <f t="shared" si="3"/>
        <v>7</v>
      </c>
      <c r="E59">
        <f t="shared" si="3"/>
        <v>7</v>
      </c>
      <c r="F59">
        <f t="shared" si="3"/>
        <v>7</v>
      </c>
      <c r="G59">
        <f t="shared" si="3"/>
        <v>7</v>
      </c>
      <c r="H59">
        <f t="shared" si="3"/>
        <v>7</v>
      </c>
      <c r="I59">
        <f t="shared" si="3"/>
        <v>7</v>
      </c>
      <c r="J59">
        <f t="shared" si="3"/>
        <v>7</v>
      </c>
      <c r="K59">
        <f t="shared" si="3"/>
        <v>7</v>
      </c>
      <c r="L59">
        <f t="shared" si="3"/>
        <v>7</v>
      </c>
      <c r="M59">
        <f t="shared" si="3"/>
        <v>7</v>
      </c>
      <c r="N59">
        <f t="shared" si="3"/>
        <v>7</v>
      </c>
      <c r="O59">
        <f t="shared" si="3"/>
        <v>7</v>
      </c>
    </row>
    <row r="60" spans="1:15" x14ac:dyDescent="0.3">
      <c r="A60" s="3">
        <v>11</v>
      </c>
      <c r="B60">
        <f t="shared" si="3"/>
        <v>7</v>
      </c>
      <c r="C60">
        <f t="shared" si="3"/>
        <v>7</v>
      </c>
      <c r="D60">
        <f t="shared" si="3"/>
        <v>7</v>
      </c>
      <c r="E60">
        <f t="shared" si="3"/>
        <v>7</v>
      </c>
      <c r="F60">
        <f t="shared" si="3"/>
        <v>7</v>
      </c>
      <c r="G60">
        <f t="shared" si="3"/>
        <v>7</v>
      </c>
      <c r="H60">
        <f t="shared" si="3"/>
        <v>7</v>
      </c>
      <c r="I60">
        <f t="shared" si="3"/>
        <v>7</v>
      </c>
      <c r="J60">
        <f t="shared" si="3"/>
        <v>7</v>
      </c>
      <c r="K60">
        <f t="shared" si="3"/>
        <v>7</v>
      </c>
      <c r="L60">
        <f t="shared" si="3"/>
        <v>7</v>
      </c>
      <c r="M60">
        <f t="shared" si="3"/>
        <v>7</v>
      </c>
      <c r="N60">
        <f t="shared" si="3"/>
        <v>7</v>
      </c>
      <c r="O60">
        <f t="shared" si="3"/>
        <v>7</v>
      </c>
    </row>
    <row r="61" spans="1:15" x14ac:dyDescent="0.3">
      <c r="A61" s="3">
        <v>12</v>
      </c>
      <c r="B61">
        <f t="shared" si="3"/>
        <v>7</v>
      </c>
      <c r="C61">
        <f t="shared" si="3"/>
        <v>7</v>
      </c>
      <c r="D61">
        <f t="shared" si="3"/>
        <v>7</v>
      </c>
      <c r="E61">
        <f t="shared" si="3"/>
        <v>7</v>
      </c>
      <c r="F61">
        <f t="shared" si="3"/>
        <v>7</v>
      </c>
      <c r="G61">
        <f t="shared" si="3"/>
        <v>7</v>
      </c>
      <c r="H61">
        <f t="shared" si="3"/>
        <v>7</v>
      </c>
      <c r="I61">
        <f t="shared" si="3"/>
        <v>7</v>
      </c>
      <c r="J61">
        <f t="shared" si="3"/>
        <v>7</v>
      </c>
      <c r="K61">
        <f t="shared" si="3"/>
        <v>7</v>
      </c>
      <c r="L61">
        <f t="shared" si="3"/>
        <v>7</v>
      </c>
      <c r="M61">
        <f t="shared" si="3"/>
        <v>7</v>
      </c>
      <c r="N61">
        <f t="shared" si="3"/>
        <v>7</v>
      </c>
      <c r="O61">
        <f t="shared" si="3"/>
        <v>7</v>
      </c>
    </row>
    <row r="62" spans="1:15" x14ac:dyDescent="0.3">
      <c r="A62" s="3">
        <v>13</v>
      </c>
      <c r="B62">
        <f t="shared" si="3"/>
        <v>7</v>
      </c>
      <c r="C62">
        <f t="shared" si="3"/>
        <v>7</v>
      </c>
      <c r="D62">
        <f t="shared" si="3"/>
        <v>7</v>
      </c>
      <c r="E62">
        <f t="shared" si="3"/>
        <v>7</v>
      </c>
      <c r="F62">
        <f t="shared" si="3"/>
        <v>7</v>
      </c>
      <c r="G62">
        <f t="shared" si="3"/>
        <v>7</v>
      </c>
      <c r="H62">
        <f t="shared" si="3"/>
        <v>7</v>
      </c>
      <c r="I62">
        <f t="shared" si="3"/>
        <v>7</v>
      </c>
      <c r="J62">
        <f t="shared" si="3"/>
        <v>7</v>
      </c>
      <c r="K62">
        <f t="shared" si="3"/>
        <v>7</v>
      </c>
      <c r="L62">
        <f t="shared" si="3"/>
        <v>7</v>
      </c>
      <c r="M62">
        <f t="shared" si="3"/>
        <v>7</v>
      </c>
      <c r="N62">
        <f t="shared" si="3"/>
        <v>7</v>
      </c>
      <c r="O62">
        <f t="shared" si="3"/>
        <v>7</v>
      </c>
    </row>
    <row r="63" spans="1:15" x14ac:dyDescent="0.3">
      <c r="A63" s="3">
        <v>14</v>
      </c>
      <c r="B63">
        <f t="shared" si="3"/>
        <v>7</v>
      </c>
      <c r="C63">
        <f t="shared" si="3"/>
        <v>7</v>
      </c>
      <c r="D63">
        <f t="shared" si="3"/>
        <v>7</v>
      </c>
      <c r="E63">
        <f t="shared" si="3"/>
        <v>7</v>
      </c>
      <c r="F63">
        <f t="shared" si="3"/>
        <v>7</v>
      </c>
      <c r="G63">
        <f t="shared" si="3"/>
        <v>7</v>
      </c>
      <c r="H63">
        <f t="shared" si="3"/>
        <v>7</v>
      </c>
      <c r="I63">
        <f t="shared" si="3"/>
        <v>7</v>
      </c>
      <c r="J63">
        <f t="shared" si="3"/>
        <v>7</v>
      </c>
      <c r="K63">
        <f t="shared" si="3"/>
        <v>7</v>
      </c>
      <c r="L63">
        <f t="shared" si="3"/>
        <v>7</v>
      </c>
      <c r="M63">
        <f t="shared" si="3"/>
        <v>7</v>
      </c>
      <c r="N63">
        <f t="shared" si="3"/>
        <v>7</v>
      </c>
      <c r="O63">
        <f t="shared" si="3"/>
        <v>7</v>
      </c>
    </row>
    <row r="65" spans="1:15" x14ac:dyDescent="0.3">
      <c r="B65" s="3">
        <v>1</v>
      </c>
      <c r="C65" s="3">
        <v>2</v>
      </c>
      <c r="D65" s="3">
        <v>3</v>
      </c>
      <c r="E65" s="3">
        <v>4</v>
      </c>
      <c r="F65" s="3">
        <v>5</v>
      </c>
      <c r="G65" s="3">
        <v>6</v>
      </c>
      <c r="H65" s="3">
        <v>7</v>
      </c>
      <c r="I65" s="3">
        <v>8</v>
      </c>
      <c r="J65" s="3">
        <v>9</v>
      </c>
      <c r="K65" s="3">
        <v>10</v>
      </c>
      <c r="L65" s="3">
        <v>11</v>
      </c>
      <c r="M65" s="3">
        <v>12</v>
      </c>
      <c r="N65" s="3">
        <v>13</v>
      </c>
      <c r="O65" s="3">
        <v>14</v>
      </c>
    </row>
    <row r="66" spans="1:15" x14ac:dyDescent="0.3">
      <c r="A66" s="3">
        <v>1</v>
      </c>
      <c r="B66">
        <f>(B18/B50)*(S20 + (B34*AK2)/B18)</f>
        <v>0</v>
      </c>
      <c r="C66">
        <f t="shared" ref="C66:O79" si="4">(C18/C50)*(T20 + (C34*AL2)/C18)</f>
        <v>0.34035165585217536</v>
      </c>
      <c r="D66">
        <f t="shared" si="4"/>
        <v>0.64293078206474663</v>
      </c>
      <c r="E66">
        <f t="shared" si="4"/>
        <v>0.30614194145203877</v>
      </c>
      <c r="F66">
        <f t="shared" si="4"/>
        <v>0.219497540921757</v>
      </c>
      <c r="G66">
        <f t="shared" si="4"/>
        <v>0.50203607328873767</v>
      </c>
      <c r="H66">
        <f t="shared" si="4"/>
        <v>0.51612435333840334</v>
      </c>
      <c r="I66">
        <f t="shared" si="4"/>
        <v>0.3588159356029777</v>
      </c>
      <c r="J66">
        <f t="shared" si="4"/>
        <v>0.31061272036241522</v>
      </c>
      <c r="K66">
        <f t="shared" si="4"/>
        <v>0.5166443936192685</v>
      </c>
      <c r="L66">
        <f t="shared" si="4"/>
        <v>0.40021345307466882</v>
      </c>
      <c r="M66">
        <f t="shared" si="4"/>
        <v>0.4691515950719396</v>
      </c>
      <c r="N66">
        <f t="shared" si="4"/>
        <v>0.25976695112442522</v>
      </c>
      <c r="O66">
        <f t="shared" si="4"/>
        <v>0.69207757813805337</v>
      </c>
    </row>
    <row r="67" spans="1:15" x14ac:dyDescent="0.3">
      <c r="A67" s="3">
        <v>2</v>
      </c>
      <c r="B67">
        <f t="shared" ref="B67:B79" si="5">(B19/B51)*(S21 + (B35*AK3)/B19)</f>
        <v>0.31466379577605502</v>
      </c>
      <c r="C67">
        <f t="shared" si="4"/>
        <v>4.3563632687981239E-2</v>
      </c>
      <c r="D67">
        <f t="shared" si="4"/>
        <v>0.6790251600024787</v>
      </c>
      <c r="E67">
        <f t="shared" si="4"/>
        <v>0.29873724161956811</v>
      </c>
      <c r="F67">
        <f t="shared" si="4"/>
        <v>0.5342023363508126</v>
      </c>
      <c r="G67">
        <f t="shared" si="4"/>
        <v>0.23453382690315072</v>
      </c>
      <c r="H67">
        <f t="shared" si="4"/>
        <v>0.47780061088232406</v>
      </c>
      <c r="I67">
        <f t="shared" si="4"/>
        <v>0.51951525808791998</v>
      </c>
      <c r="J67">
        <f t="shared" si="4"/>
        <v>0.47332161790101623</v>
      </c>
      <c r="K67">
        <f t="shared" si="4"/>
        <v>0.45148388391803507</v>
      </c>
      <c r="L67">
        <f t="shared" si="4"/>
        <v>0.56485628941901223</v>
      </c>
      <c r="M67">
        <f t="shared" si="4"/>
        <v>0.58940209068342109</v>
      </c>
      <c r="N67">
        <f t="shared" si="4"/>
        <v>0.42134104349239515</v>
      </c>
      <c r="O67">
        <f t="shared" si="4"/>
        <v>0.6230021791733803</v>
      </c>
    </row>
    <row r="68" spans="1:15" x14ac:dyDescent="0.3">
      <c r="A68" s="3">
        <v>3</v>
      </c>
      <c r="B68">
        <f t="shared" si="5"/>
        <v>0.63811408496454214</v>
      </c>
      <c r="C68">
        <f t="shared" si="4"/>
        <v>0.67287734536801191</v>
      </c>
      <c r="D68">
        <f t="shared" si="4"/>
        <v>6.4965848707587245E-2</v>
      </c>
      <c r="E68">
        <f t="shared" si="4"/>
        <v>0.50985758409527981</v>
      </c>
      <c r="F68">
        <f t="shared" si="4"/>
        <v>0.61331665399239998</v>
      </c>
      <c r="G68">
        <f t="shared" si="4"/>
        <v>0.63275779197626614</v>
      </c>
      <c r="H68">
        <f t="shared" si="4"/>
        <v>0.68193962539376773</v>
      </c>
      <c r="I68">
        <f t="shared" si="4"/>
        <v>0.6549201884519279</v>
      </c>
      <c r="J68">
        <f t="shared" si="4"/>
        <v>0.60888239209637041</v>
      </c>
      <c r="K68">
        <f t="shared" si="4"/>
        <v>0.74905797889177006</v>
      </c>
      <c r="L68">
        <f t="shared" si="4"/>
        <v>0.5081274757395704</v>
      </c>
      <c r="M68">
        <f t="shared" si="4"/>
        <v>0.61574975538075805</v>
      </c>
      <c r="N68">
        <f t="shared" si="4"/>
        <v>0.69957824738438057</v>
      </c>
      <c r="O68">
        <f t="shared" si="4"/>
        <v>0.85353035002468547</v>
      </c>
    </row>
    <row r="69" spans="1:15" x14ac:dyDescent="0.3">
      <c r="A69" s="3">
        <v>4</v>
      </c>
      <c r="B69">
        <f t="shared" si="5"/>
        <v>0.28929137364011198</v>
      </c>
      <c r="C69">
        <f t="shared" si="4"/>
        <v>0.26216175043928541</v>
      </c>
      <c r="D69">
        <f t="shared" si="4"/>
        <v>0.50254872334433998</v>
      </c>
      <c r="E69">
        <f t="shared" si="4"/>
        <v>5.1117358070192166E-2</v>
      </c>
      <c r="F69">
        <f t="shared" si="4"/>
        <v>0.36985456824379576</v>
      </c>
      <c r="G69">
        <f t="shared" si="4"/>
        <v>0.37200681117390444</v>
      </c>
      <c r="H69">
        <f t="shared" si="4"/>
        <v>0.56707556935835601</v>
      </c>
      <c r="I69">
        <f t="shared" si="4"/>
        <v>0.34477844925695228</v>
      </c>
      <c r="J69">
        <f t="shared" si="4"/>
        <v>0.30189329859350017</v>
      </c>
      <c r="K69">
        <f t="shared" si="4"/>
        <v>0.54730252365212784</v>
      </c>
      <c r="L69">
        <f t="shared" si="4"/>
        <v>0.34832639507220631</v>
      </c>
      <c r="M69">
        <f t="shared" si="4"/>
        <v>0.38952238870967393</v>
      </c>
      <c r="N69">
        <f t="shared" si="4"/>
        <v>0.2492605896320296</v>
      </c>
      <c r="O69">
        <f t="shared" si="4"/>
        <v>0.59985336594465799</v>
      </c>
    </row>
    <row r="70" spans="1:15" x14ac:dyDescent="0.3">
      <c r="A70" s="3">
        <v>5</v>
      </c>
      <c r="B70">
        <f t="shared" si="5"/>
        <v>0.23583734609109672</v>
      </c>
      <c r="C70">
        <f t="shared" si="4"/>
        <v>0.54905717427499801</v>
      </c>
      <c r="D70">
        <f t="shared" si="4"/>
        <v>0.62971441151920571</v>
      </c>
      <c r="E70">
        <f t="shared" si="4"/>
        <v>0.37089273979526294</v>
      </c>
      <c r="F70">
        <f t="shared" si="4"/>
        <v>4.9538722408437715E-2</v>
      </c>
      <c r="G70">
        <f t="shared" si="4"/>
        <v>0.34798477003041239</v>
      </c>
      <c r="H70">
        <f t="shared" si="4"/>
        <v>0.37657791525129325</v>
      </c>
      <c r="I70">
        <f t="shared" si="4"/>
        <v>0.22485632265240579</v>
      </c>
      <c r="J70">
        <f t="shared" si="4"/>
        <v>0.39867109497588971</v>
      </c>
      <c r="K70">
        <f t="shared" si="4"/>
        <v>0.37850321639963264</v>
      </c>
      <c r="L70">
        <f t="shared" si="4"/>
        <v>0.52214177600598688</v>
      </c>
      <c r="M70">
        <f t="shared" si="4"/>
        <v>0.25529354805032045</v>
      </c>
      <c r="N70">
        <f t="shared" si="4"/>
        <v>0.41855243973185674</v>
      </c>
      <c r="O70">
        <f t="shared" si="4"/>
        <v>0.47924108375724739</v>
      </c>
    </row>
    <row r="71" spans="1:15" x14ac:dyDescent="0.3">
      <c r="A71" s="3">
        <v>6</v>
      </c>
      <c r="B71">
        <f t="shared" si="5"/>
        <v>0.51893774743788035</v>
      </c>
      <c r="C71">
        <f t="shared" si="4"/>
        <v>0.23854748759701555</v>
      </c>
      <c r="D71">
        <f t="shared" si="4"/>
        <v>0.6301689703031883</v>
      </c>
      <c r="E71">
        <f t="shared" si="4"/>
        <v>0.36977384103403349</v>
      </c>
      <c r="F71">
        <f t="shared" si="4"/>
        <v>0.3701434801326422</v>
      </c>
      <c r="G71">
        <f t="shared" si="4"/>
        <v>4.7909599558585592E-2</v>
      </c>
      <c r="H71">
        <f t="shared" si="4"/>
        <v>0.29740805179159374</v>
      </c>
      <c r="I71">
        <f t="shared" si="4"/>
        <v>0.37053867068147567</v>
      </c>
      <c r="J71">
        <f t="shared" si="4"/>
        <v>0.56983010048918981</v>
      </c>
      <c r="K71">
        <f t="shared" si="4"/>
        <v>0.26761784793971849</v>
      </c>
      <c r="L71">
        <f t="shared" si="4"/>
        <v>0.67512564419936438</v>
      </c>
      <c r="M71">
        <f t="shared" si="4"/>
        <v>0.41110539605379404</v>
      </c>
      <c r="N71">
        <f t="shared" si="4"/>
        <v>0.57384795506928599</v>
      </c>
      <c r="O71">
        <f t="shared" si="4"/>
        <v>0.41272815648573646</v>
      </c>
    </row>
    <row r="72" spans="1:15" x14ac:dyDescent="0.3">
      <c r="A72" s="3">
        <v>7</v>
      </c>
      <c r="B72">
        <f t="shared" si="5"/>
        <v>0.63429331428571423</v>
      </c>
      <c r="C72">
        <f t="shared" si="4"/>
        <v>0.53282863861305774</v>
      </c>
      <c r="D72">
        <f t="shared" si="4"/>
        <v>0.68882318377041041</v>
      </c>
      <c r="E72">
        <f t="shared" si="4"/>
        <v>0.57734339681522429</v>
      </c>
      <c r="F72">
        <f t="shared" si="4"/>
        <v>0.41053084997654221</v>
      </c>
      <c r="G72">
        <f t="shared" si="4"/>
        <v>0.32514108523503954</v>
      </c>
      <c r="H72">
        <f t="shared" si="4"/>
        <v>3.5221695098318503E-2</v>
      </c>
      <c r="I72">
        <f t="shared" si="4"/>
        <v>0.43310468729038998</v>
      </c>
      <c r="J72">
        <f t="shared" si="4"/>
        <v>0.40554173526660109</v>
      </c>
      <c r="K72">
        <f t="shared" si="4"/>
        <v>0.27531373281222327</v>
      </c>
      <c r="L72">
        <f t="shared" si="4"/>
        <v>0.4884915649120305</v>
      </c>
      <c r="M72">
        <f t="shared" si="4"/>
        <v>0.4210081912331966</v>
      </c>
      <c r="N72">
        <f t="shared" si="4"/>
        <v>0.49881822852346042</v>
      </c>
      <c r="O72">
        <f t="shared" si="4"/>
        <v>0.41977411260063802</v>
      </c>
    </row>
    <row r="73" spans="1:15" x14ac:dyDescent="0.3">
      <c r="A73" s="3">
        <v>8</v>
      </c>
      <c r="B73">
        <f t="shared" si="5"/>
        <v>0.3886337958600718</v>
      </c>
      <c r="C73">
        <f t="shared" si="4"/>
        <v>0.55115163644810206</v>
      </c>
      <c r="D73">
        <f t="shared" si="4"/>
        <v>0.6411272266454503</v>
      </c>
      <c r="E73">
        <f t="shared" si="4"/>
        <v>0.34278445408097719</v>
      </c>
      <c r="F73">
        <f t="shared" si="4"/>
        <v>0.22876860155353712</v>
      </c>
      <c r="G73">
        <f t="shared" si="4"/>
        <v>0.36778355357955311</v>
      </c>
      <c r="H73">
        <f t="shared" si="4"/>
        <v>0.40923078513368127</v>
      </c>
      <c r="I73">
        <f t="shared" si="4"/>
        <v>5.0068377944118184E-2</v>
      </c>
      <c r="J73">
        <f t="shared" si="4"/>
        <v>0.4310864034510134</v>
      </c>
      <c r="K73">
        <f t="shared" si="4"/>
        <v>0.2547090390406776</v>
      </c>
      <c r="L73">
        <f t="shared" si="4"/>
        <v>0.48133777485184687</v>
      </c>
      <c r="M73">
        <f t="shared" si="4"/>
        <v>8.1605264247903223E-2</v>
      </c>
      <c r="N73">
        <f t="shared" si="4"/>
        <v>0.41117349438657652</v>
      </c>
      <c r="O73">
        <f t="shared" si="4"/>
        <v>0.29599248184990012</v>
      </c>
    </row>
    <row r="74" spans="1:15" x14ac:dyDescent="0.3">
      <c r="A74" s="3">
        <v>9</v>
      </c>
      <c r="B74">
        <f t="shared" si="5"/>
        <v>0.28354856255637684</v>
      </c>
      <c r="C74">
        <f t="shared" si="4"/>
        <v>0.43553844983067069</v>
      </c>
      <c r="D74">
        <f t="shared" si="4"/>
        <v>0.58903178145701462</v>
      </c>
      <c r="E74">
        <f t="shared" si="4"/>
        <v>0.28950739738312908</v>
      </c>
      <c r="F74">
        <f t="shared" si="4"/>
        <v>0.39339396321142245</v>
      </c>
      <c r="G74">
        <f t="shared" si="4"/>
        <v>0.55582102026050151</v>
      </c>
      <c r="H74">
        <f t="shared" si="4"/>
        <v>0.37857115742728892</v>
      </c>
      <c r="I74">
        <f t="shared" si="4"/>
        <v>0.41577857834195864</v>
      </c>
      <c r="J74">
        <f t="shared" si="4"/>
        <v>3.8311956797260495E-2</v>
      </c>
      <c r="K74">
        <f t="shared" si="4"/>
        <v>0.51029972822583192</v>
      </c>
      <c r="L74">
        <f t="shared" si="4"/>
        <v>0.25900347381759015</v>
      </c>
      <c r="M74">
        <f t="shared" si="4"/>
        <v>0.41808407789200985</v>
      </c>
      <c r="N74">
        <f t="shared" si="4"/>
        <v>0.1926150289793806</v>
      </c>
      <c r="O74">
        <f t="shared" si="4"/>
        <v>0.63379984313000537</v>
      </c>
    </row>
    <row r="75" spans="1:15" x14ac:dyDescent="0.3">
      <c r="A75" s="3">
        <v>10</v>
      </c>
      <c r="B75">
        <f t="shared" si="5"/>
        <v>0.52275421018785106</v>
      </c>
      <c r="C75">
        <f t="shared" si="4"/>
        <v>0.45620068573050743</v>
      </c>
      <c r="D75">
        <f t="shared" si="4"/>
        <v>0.72125959868138922</v>
      </c>
      <c r="E75">
        <f t="shared" si="4"/>
        <v>0.52697398296342557</v>
      </c>
      <c r="F75">
        <f t="shared" si="4"/>
        <v>0.36061806810112429</v>
      </c>
      <c r="G75">
        <f t="shared" si="4"/>
        <v>0.25783408895345455</v>
      </c>
      <c r="H75">
        <f t="shared" si="4"/>
        <v>0.24836296774469435</v>
      </c>
      <c r="I75">
        <f t="shared" si="4"/>
        <v>0.24241840855742092</v>
      </c>
      <c r="J75">
        <f t="shared" si="4"/>
        <v>0.50935819700673246</v>
      </c>
      <c r="K75">
        <f t="shared" si="4"/>
        <v>3.8415036280457802E-2</v>
      </c>
      <c r="L75">
        <f t="shared" si="4"/>
        <v>0.65887849045563052</v>
      </c>
      <c r="M75">
        <f t="shared" si="4"/>
        <v>0.23461815185362683</v>
      </c>
      <c r="N75">
        <f t="shared" si="4"/>
        <v>0.60081675405198509</v>
      </c>
      <c r="O75">
        <f t="shared" si="4"/>
        <v>0.18124365741277432</v>
      </c>
    </row>
    <row r="76" spans="1:15" x14ac:dyDescent="0.3">
      <c r="A76" s="3">
        <v>11</v>
      </c>
      <c r="B76">
        <f t="shared" si="5"/>
        <v>0.42877807454379191</v>
      </c>
      <c r="C76">
        <f t="shared" si="4"/>
        <v>0.56485628941901223</v>
      </c>
      <c r="D76">
        <f t="shared" si="4"/>
        <v>0.4984405162954475</v>
      </c>
      <c r="E76">
        <f t="shared" si="4"/>
        <v>0.35139390746354721</v>
      </c>
      <c r="F76">
        <f t="shared" si="4"/>
        <v>0.5080288202452351</v>
      </c>
      <c r="G76">
        <f t="shared" si="4"/>
        <v>0.67037993696805831</v>
      </c>
      <c r="H76">
        <f t="shared" si="4"/>
        <v>0.48504191368492028</v>
      </c>
      <c r="I76">
        <f t="shared" si="4"/>
        <v>0.50924830895538309</v>
      </c>
      <c r="J76">
        <f t="shared" si="4"/>
        <v>0.27633398833599127</v>
      </c>
      <c r="K76">
        <f t="shared" si="4"/>
        <v>0.69196298893768038</v>
      </c>
      <c r="L76">
        <f t="shared" si="4"/>
        <v>7.7312248204215492E-2</v>
      </c>
      <c r="M76">
        <f t="shared" si="4"/>
        <v>0.49857243829627523</v>
      </c>
      <c r="N76">
        <f t="shared" si="4"/>
        <v>0.26768934451812182</v>
      </c>
      <c r="O76">
        <f t="shared" si="4"/>
        <v>0.7185147337373452</v>
      </c>
    </row>
    <row r="77" spans="1:15" x14ac:dyDescent="0.3">
      <c r="A77" s="3">
        <v>12</v>
      </c>
      <c r="B77">
        <f t="shared" si="5"/>
        <v>0.49427050963121655</v>
      </c>
      <c r="C77">
        <f t="shared" si="4"/>
        <v>0.64255787421622668</v>
      </c>
      <c r="D77">
        <f t="shared" si="4"/>
        <v>0.64209266610541571</v>
      </c>
      <c r="E77">
        <f t="shared" si="4"/>
        <v>0.40375263702770353</v>
      </c>
      <c r="F77">
        <f t="shared" si="4"/>
        <v>0.29452144779168171</v>
      </c>
      <c r="G77">
        <f t="shared" si="4"/>
        <v>0.44441342615173368</v>
      </c>
      <c r="H77">
        <f t="shared" si="4"/>
        <v>0.41993317201132518</v>
      </c>
      <c r="I77">
        <f t="shared" si="4"/>
        <v>0.12344867071577903</v>
      </c>
      <c r="J77">
        <f t="shared" si="4"/>
        <v>0.44043591802063053</v>
      </c>
      <c r="K77">
        <f t="shared" si="4"/>
        <v>0.27240376916480663</v>
      </c>
      <c r="L77">
        <f t="shared" si="4"/>
        <v>0.52196740371642669</v>
      </c>
      <c r="M77">
        <f t="shared" si="4"/>
        <v>4.4741201240923442E-2</v>
      </c>
      <c r="N77">
        <f t="shared" si="4"/>
        <v>0.39043355503409011</v>
      </c>
      <c r="O77">
        <f t="shared" si="4"/>
        <v>0.28781324795748275</v>
      </c>
    </row>
    <row r="78" spans="1:15" x14ac:dyDescent="0.3">
      <c r="A78" s="3">
        <v>13</v>
      </c>
      <c r="B78">
        <f t="shared" si="5"/>
        <v>0.35482489755574964</v>
      </c>
      <c r="C78">
        <f t="shared" si="4"/>
        <v>0.48587051590145647</v>
      </c>
      <c r="D78">
        <f t="shared" si="4"/>
        <v>0.70869732325726642</v>
      </c>
      <c r="E78">
        <f t="shared" si="4"/>
        <v>0.25274746056613262</v>
      </c>
      <c r="F78">
        <f t="shared" si="4"/>
        <v>0.43067447727801456</v>
      </c>
      <c r="G78">
        <f t="shared" si="4"/>
        <v>0.57067780544411806</v>
      </c>
      <c r="H78">
        <f t="shared" si="4"/>
        <v>0.46234073980360557</v>
      </c>
      <c r="I78">
        <f t="shared" si="4"/>
        <v>0.41108014329528747</v>
      </c>
      <c r="J78">
        <f t="shared" si="4"/>
        <v>0.20901046911948662</v>
      </c>
      <c r="K78">
        <f t="shared" si="4"/>
        <v>0.61165211128059438</v>
      </c>
      <c r="L78">
        <f t="shared" si="4"/>
        <v>0.28311961963278692</v>
      </c>
      <c r="M78">
        <f t="shared" si="4"/>
        <v>0.36969149349431185</v>
      </c>
      <c r="N78">
        <f t="shared" si="4"/>
        <v>6.1881973089550395E-2</v>
      </c>
      <c r="O78">
        <f t="shared" si="4"/>
        <v>0.5308134748858877</v>
      </c>
    </row>
    <row r="79" spans="1:15" x14ac:dyDescent="0.3">
      <c r="A79" s="3">
        <v>14</v>
      </c>
      <c r="B79">
        <f t="shared" si="5"/>
        <v>0.61403869652868737</v>
      </c>
      <c r="C79">
        <f t="shared" si="4"/>
        <v>0.57334923259761728</v>
      </c>
      <c r="D79">
        <f t="shared" si="4"/>
        <v>0.84978462168923941</v>
      </c>
      <c r="E79">
        <f t="shared" si="4"/>
        <v>0.61440337022297842</v>
      </c>
      <c r="F79">
        <f t="shared" si="4"/>
        <v>0.48245678506754197</v>
      </c>
      <c r="G79">
        <f t="shared" si="4"/>
        <v>0.39663744385164668</v>
      </c>
      <c r="H79">
        <f t="shared" si="4"/>
        <v>0.38871554079332421</v>
      </c>
      <c r="I79">
        <f t="shared" si="4"/>
        <v>0.31776029767306668</v>
      </c>
      <c r="J79">
        <f t="shared" si="4"/>
        <v>0.65296330438797878</v>
      </c>
      <c r="K79">
        <f t="shared" si="4"/>
        <v>0.20781083306659978</v>
      </c>
      <c r="L79">
        <f t="shared" si="4"/>
        <v>0.7185147337373452</v>
      </c>
      <c r="M79">
        <f t="shared" si="4"/>
        <v>0.24573815643668431</v>
      </c>
      <c r="N79">
        <f t="shared" si="4"/>
        <v>0.53012066471256714</v>
      </c>
      <c r="O79">
        <f t="shared" si="4"/>
        <v>9.1387913498075235E-2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Counting</vt:lpstr>
      <vt:lpstr>GowerDistance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Tailor</dc:creator>
  <cp:lastModifiedBy>Suraj Tailor</cp:lastModifiedBy>
  <dcterms:created xsi:type="dcterms:W3CDTF">2020-07-06T10:18:42Z</dcterms:created>
  <dcterms:modified xsi:type="dcterms:W3CDTF">2020-07-30T10:36:54Z</dcterms:modified>
</cp:coreProperties>
</file>